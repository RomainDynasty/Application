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ynastyam-my.sharepoint.com/personal/mikael_dauvert_dynasty-am_lu/Documents/BLOOMBERG/"/>
    </mc:Choice>
  </mc:AlternateContent>
  <xr:revisionPtr revIDLastSave="208" documentId="8_{B9F505B8-A2DB-4615-A460-D8C83B769D1B}" xr6:coauthVersionLast="47" xr6:coauthVersionMax="47" xr10:uidLastSave="{0829E3B7-360D-45BA-9B54-55D2BCCBAAC9}"/>
  <bookViews>
    <workbookView xWindow="-120" yWindow="-120" windowWidth="29040" windowHeight="15720" xr2:uid="{00000000-000D-0000-FFFF-FFFF00000000}"/>
  </bookViews>
  <sheets>
    <sheet name="Portfolio Analysis" sheetId="1" r:id="rId1"/>
    <sheet name="Pricing Analysis" sheetId="2" r:id="rId2"/>
    <sheet name="Scenario Analysis" sheetId="4" r:id="rId3"/>
    <sheet name="HELP" sheetId="5" r:id="rId4"/>
    <sheet name="DF" sheetId="6" r:id="rId5"/>
  </sheets>
  <definedNames>
    <definedName name="BB_CCRUVE_REGION">'Pricing Analysis'!$87:$111</definedName>
    <definedName name="BB_DVD_DATA" localSheetId="3">OFFSET(HELP!#REF!,0,0,COUNTA(HELP!#REF!))</definedName>
    <definedName name="BB_DVD_DATA" localSheetId="2">OFFSET('Scenario Analysis'!#REF!,0,0,COUNTA('Scenario Analysis'!#REF!))</definedName>
    <definedName name="BB_DVD_DATA">OFFSET('Pricing Analysis'!$L$115,0,0,COUNTA('Pricing Analysis'!$L$115:$L$129))</definedName>
    <definedName name="BB_DVD_DATES" localSheetId="3">OFFSET(HELP!#REF!,0,0,COUNTA(HELP!#REF!))</definedName>
    <definedName name="BB_DVD_DATES" localSheetId="2">OFFSET('Scenario Analysis'!#REF!,0,0,COUNTA('Scenario Analysis'!#REF!))</definedName>
    <definedName name="BB_DVD_DATES">OFFSET('Pricing Analysis'!$J$115,0,0,COUNTA('Pricing Analysis'!$J$115:$J$129))</definedName>
    <definedName name="BB_DVD_REGION">'Pricing Analysis'!$112:$136</definedName>
    <definedName name="BB_PORT_FRM">'Portfolio Analysis'!$B$6:$AW$6</definedName>
    <definedName name="BB_PRICING_REGION">'Pricing Analysis'!$18:$48</definedName>
    <definedName name="BB_SEC_LIST">'Portfolio Analysis'!$C$8:$C$55</definedName>
    <definedName name="BB_ST_TICKER">'Portfolio Analysis'!$B$7</definedName>
    <definedName name="BB_VOL_REGION">'Pricing Analysis'!$137:$161</definedName>
    <definedName name="BB_YCRUVE_REGION">'Pricing Analysis'!$49:$86</definedName>
    <definedName name="BB_YIELDCURV_DATA" localSheetId="3">OFFSET(HELP!#REF!,0,0,COUNTA(HELP!#REF!))</definedName>
    <definedName name="BB_YIELDCURV_DATA" localSheetId="2">OFFSET('Scenario Analysis'!#REF!,0,0,COUNTA('Scenario Analysis'!#REF!))</definedName>
    <definedName name="BB_YIELDCURV_DATA">OFFSET('Pricing Analysis'!$N$52,0,0,COUNTA('Pricing Analysis'!$J$52:$J$85))</definedName>
    <definedName name="BB_YIELDCURV_DATES" localSheetId="3">OFFSET(HELP!#REF!,0,0,COUNTA(HELP!#REF!))</definedName>
    <definedName name="BB_YIELDCURV_DATES" localSheetId="2">OFFSET('Scenario Analysis'!#REF!,0,0,COUNTA('Scenario Analysis'!#REF!))</definedName>
    <definedName name="BB_YIELDCURV_DATES">OFFSET('Pricing Analysis'!$P$52,0,0,COUNTA('Pricing Analysis'!$J$52:$J$85))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4" i="6" l="1"/>
  <c r="P33" i="6"/>
  <c r="P34" i="6"/>
  <c r="P32" i="6"/>
  <c r="O33" i="6"/>
  <c r="O34" i="6"/>
  <c r="O32" i="6"/>
  <c r="P84" i="2"/>
  <c r="P83" i="2"/>
  <c r="P74" i="2"/>
  <c r="P82" i="2"/>
  <c r="P78" i="2"/>
  <c r="P81" i="2"/>
  <c r="P77" i="2"/>
  <c r="P73" i="2"/>
  <c r="P75" i="2"/>
  <c r="P80" i="2"/>
  <c r="P79" i="2"/>
  <c r="P76" i="2"/>
  <c r="N83" i="2"/>
  <c r="N74" i="2"/>
  <c r="N81" i="2"/>
  <c r="N77" i="2"/>
  <c r="N76" i="2"/>
  <c r="N78" i="2"/>
  <c r="N84" i="2"/>
  <c r="N75" i="2"/>
  <c r="N79" i="2"/>
  <c r="N73" i="2"/>
  <c r="N82" i="2"/>
  <c r="N80" i="2"/>
  <c r="P85" i="2"/>
  <c r="N85" i="2"/>
  <c r="K10" i="2"/>
  <c r="N72" i="2"/>
  <c r="N61" i="2"/>
  <c r="N64" i="2"/>
  <c r="N62" i="2"/>
  <c r="N56" i="2"/>
  <c r="N53" i="2"/>
  <c r="N59" i="2"/>
  <c r="N71" i="2"/>
  <c r="N70" i="2"/>
  <c r="N58" i="2"/>
  <c r="N69" i="2"/>
  <c r="N66" i="2"/>
  <c r="N65" i="2"/>
  <c r="N55" i="2"/>
  <c r="N57" i="2"/>
  <c r="N63" i="2"/>
  <c r="N68" i="2"/>
  <c r="N54" i="2"/>
  <c r="N60" i="2"/>
  <c r="N67" i="2"/>
  <c r="B1" i="2" l="1"/>
  <c r="D1" i="2" s="1"/>
  <c r="L36" i="2"/>
  <c r="D43" i="2"/>
  <c r="L40" i="2"/>
  <c r="R12" i="2"/>
  <c r="D38" i="2"/>
  <c r="L42" i="2"/>
  <c r="L37" i="2"/>
  <c r="L41" i="2"/>
  <c r="D37" i="2"/>
  <c r="H38" i="2"/>
  <c r="D42" i="2"/>
  <c r="D46" i="2"/>
  <c r="D44" i="2"/>
  <c r="P35" i="2"/>
  <c r="H12" i="2"/>
  <c r="D45" i="2"/>
  <c r="H36" i="2"/>
  <c r="L44" i="2"/>
  <c r="P12" i="2"/>
  <c r="H45" i="2"/>
  <c r="P37" i="2"/>
  <c r="H42" i="2"/>
  <c r="L12" i="2"/>
  <c r="P34" i="2"/>
  <c r="L39" i="2"/>
  <c r="D40" i="2"/>
  <c r="P45" i="2"/>
  <c r="H44" i="2"/>
  <c r="N12" i="2"/>
  <c r="D12" i="2"/>
  <c r="P36" i="2"/>
  <c r="J12" i="2"/>
  <c r="D34" i="2"/>
  <c r="H43" i="2"/>
  <c r="D39" i="2"/>
  <c r="H34" i="2"/>
  <c r="D47" i="2"/>
  <c r="H46" i="2"/>
  <c r="L35" i="2"/>
  <c r="H41" i="2"/>
  <c r="D36" i="2"/>
  <c r="P43" i="2"/>
  <c r="H35" i="2"/>
  <c r="F12" i="2"/>
  <c r="H37" i="2"/>
  <c r="P42" i="2"/>
  <c r="D41" i="2"/>
  <c r="L34" i="2"/>
  <c r="H40" i="2"/>
  <c r="L38" i="2"/>
  <c r="L94" i="2"/>
  <c r="L43" i="2"/>
  <c r="H39" i="2"/>
  <c r="L98" i="2"/>
  <c r="J115" i="2"/>
  <c r="P40" i="2"/>
  <c r="L93" i="2"/>
  <c r="L95" i="2"/>
  <c r="P41" i="2"/>
  <c r="L90" i="2"/>
  <c r="L100" i="2"/>
  <c r="L92" i="2"/>
  <c r="P44" i="2"/>
  <c r="L91" i="2"/>
  <c r="L96" i="2"/>
  <c r="P39" i="2"/>
  <c r="D35" i="2"/>
  <c r="L115" i="2"/>
  <c r="P38" i="2"/>
  <c r="L99" i="2"/>
  <c r="C139" i="2"/>
  <c r="L97" i="2"/>
  <c r="C141" i="2" l="1"/>
  <c r="C154" i="2"/>
  <c r="C140" i="2"/>
  <c r="C153" i="2"/>
  <c r="C148" i="2"/>
  <c r="C152" i="2"/>
  <c r="C151" i="2"/>
  <c r="C149" i="2"/>
  <c r="C150" i="2"/>
  <c r="C147" i="2"/>
  <c r="C142" i="2"/>
  <c r="C146" i="2"/>
  <c r="C145" i="2"/>
  <c r="C144" i="2"/>
  <c r="C143" i="2"/>
  <c r="L10" i="2"/>
  <c r="J10" i="2"/>
  <c r="H10" i="2"/>
  <c r="D10" i="2"/>
  <c r="F10" i="2"/>
  <c r="N10" i="2"/>
  <c r="R10" i="2"/>
  <c r="P10" i="2"/>
  <c r="C68" i="2"/>
  <c r="C67" i="2"/>
  <c r="C11" i="4"/>
  <c r="Q35" i="4" s="1"/>
  <c r="C7" i="4"/>
  <c r="Q33" i="4"/>
  <c r="B34" i="4"/>
  <c r="C34" i="4"/>
  <c r="M34" i="4"/>
  <c r="B43" i="4"/>
  <c r="C47" i="4"/>
  <c r="D47" i="4"/>
  <c r="E47" i="4"/>
  <c r="F47" i="4"/>
  <c r="G47" i="4"/>
  <c r="H47" i="4"/>
  <c r="I47" i="4"/>
  <c r="J47" i="4"/>
  <c r="K47" i="4"/>
  <c r="L47" i="4"/>
  <c r="M47" i="4"/>
  <c r="C48" i="4"/>
  <c r="D48" i="4"/>
  <c r="E48" i="4"/>
  <c r="F48" i="4"/>
  <c r="G48" i="4"/>
  <c r="H48" i="4"/>
  <c r="I48" i="4"/>
  <c r="J48" i="4"/>
  <c r="K48" i="4"/>
  <c r="L48" i="4"/>
  <c r="M48" i="4"/>
  <c r="H49" i="4"/>
  <c r="C50" i="4"/>
  <c r="D50" i="4"/>
  <c r="E50" i="4"/>
  <c r="F50" i="4"/>
  <c r="G50" i="4"/>
  <c r="H50" i="4"/>
  <c r="I50" i="4"/>
  <c r="J50" i="4"/>
  <c r="K50" i="4"/>
  <c r="L50" i="4"/>
  <c r="M50" i="4"/>
  <c r="G49" i="4"/>
  <c r="I49" i="4"/>
  <c r="C49" i="4"/>
  <c r="J49" i="4"/>
  <c r="D49" i="4"/>
  <c r="K49" i="4"/>
  <c r="E49" i="4"/>
  <c r="L49" i="4"/>
  <c r="F49" i="4"/>
  <c r="M49" i="4"/>
  <c r="L143" i="2"/>
  <c r="H23" i="2"/>
  <c r="L52" i="2"/>
  <c r="P69" i="2"/>
  <c r="Q59" i="4"/>
  <c r="P27" i="2"/>
  <c r="L142" i="2"/>
  <c r="P67" i="2"/>
  <c r="L152" i="2"/>
  <c r="L147" i="2"/>
  <c r="P62" i="2"/>
  <c r="P60" i="2"/>
  <c r="H26" i="2"/>
  <c r="P57" i="2"/>
  <c r="H24" i="2"/>
  <c r="L24" i="2"/>
  <c r="Q34" i="4"/>
  <c r="P58" i="2"/>
  <c r="H28" i="2"/>
  <c r="P65" i="2"/>
  <c r="P24" i="2"/>
  <c r="L23" i="2"/>
  <c r="P53" i="2"/>
  <c r="L145" i="2"/>
  <c r="P61" i="2"/>
  <c r="P64" i="2"/>
  <c r="L28" i="2"/>
  <c r="P68" i="2"/>
  <c r="D27" i="2"/>
  <c r="L148" i="2"/>
  <c r="L154" i="2"/>
  <c r="P71" i="2"/>
  <c r="D25" i="2"/>
  <c r="L146" i="2"/>
  <c r="L26" i="2"/>
  <c r="L153" i="2"/>
  <c r="H22" i="2"/>
  <c r="P28" i="2"/>
  <c r="P25" i="2"/>
  <c r="L149" i="2"/>
  <c r="P72" i="2"/>
  <c r="P55" i="2"/>
  <c r="D30" i="2"/>
  <c r="D23" i="2"/>
  <c r="H30" i="2"/>
  <c r="P23" i="2"/>
  <c r="N90" i="2"/>
  <c r="H29" i="2"/>
  <c r="P22" i="2"/>
  <c r="Q57" i="4"/>
  <c r="P59" i="2"/>
  <c r="L144" i="2"/>
  <c r="D28" i="2"/>
  <c r="L151" i="2"/>
  <c r="L150" i="2"/>
  <c r="P63" i="2"/>
  <c r="C69" i="2"/>
  <c r="P29" i="2"/>
  <c r="P54" i="2"/>
  <c r="P70" i="2"/>
  <c r="L140" i="2"/>
  <c r="H25" i="2"/>
  <c r="P66" i="2"/>
  <c r="P56" i="2"/>
  <c r="L141" i="2"/>
  <c r="D24" i="2"/>
  <c r="J52" i="2"/>
  <c r="L22" i="2"/>
  <c r="L27" i="2"/>
  <c r="P26" i="2"/>
  <c r="L29" i="2"/>
  <c r="D22" i="2"/>
  <c r="D29" i="2" s="1"/>
  <c r="D26" i="2"/>
  <c r="L25" i="2"/>
  <c r="H27" i="2"/>
  <c r="N146" i="2"/>
  <c r="M56" i="4" l="1"/>
  <c r="M58" i="4"/>
  <c r="D34" i="4"/>
  <c r="C60" i="4"/>
  <c r="C56" i="4"/>
  <c r="C58" i="4"/>
  <c r="M60" i="4"/>
  <c r="N154" i="2"/>
  <c r="N98" i="2"/>
  <c r="N152" i="2"/>
  <c r="N150" i="2"/>
  <c r="N100" i="2"/>
  <c r="N95" i="2"/>
  <c r="N145" i="2"/>
  <c r="N142" i="2"/>
  <c r="N148" i="2"/>
  <c r="N140" i="2"/>
  <c r="N91" i="2"/>
  <c r="N151" i="2"/>
  <c r="N143" i="2"/>
  <c r="N99" i="2"/>
  <c r="N147" i="2"/>
  <c r="N96" i="2"/>
  <c r="N52" i="2"/>
  <c r="N93" i="2"/>
  <c r="P52" i="2"/>
  <c r="N94" i="2"/>
  <c r="N144" i="2"/>
  <c r="N92" i="2"/>
  <c r="N153" i="2"/>
  <c r="N97" i="2"/>
  <c r="N141" i="2"/>
  <c r="N149" i="2"/>
  <c r="D58" i="4" l="1"/>
  <c r="E34" i="4"/>
  <c r="D60" i="4"/>
  <c r="D56" i="4"/>
  <c r="C55" i="4" l="1"/>
  <c r="C46" i="4" s="1"/>
  <c r="M35" i="4"/>
  <c r="M55" i="4"/>
  <c r="M46" i="4" s="1"/>
  <c r="D35" i="4"/>
  <c r="C35" i="4"/>
  <c r="E55" i="4"/>
  <c r="E46" i="4" s="1"/>
  <c r="E35" i="4"/>
  <c r="D55" i="4"/>
  <c r="D46" i="4" s="1"/>
  <c r="D57" i="4"/>
  <c r="E57" i="4"/>
  <c r="M57" i="4"/>
  <c r="C57" i="4"/>
  <c r="E59" i="4"/>
  <c r="D59" i="4"/>
  <c r="M59" i="4"/>
  <c r="C59" i="4"/>
  <c r="F34" i="4"/>
  <c r="E56" i="4"/>
  <c r="E58" i="4"/>
  <c r="E60" i="4"/>
  <c r="D38" i="4"/>
  <c r="E40" i="4"/>
  <c r="C37" i="4"/>
  <c r="M36" i="4"/>
  <c r="C36" i="4"/>
  <c r="D37" i="4"/>
  <c r="E41" i="4"/>
  <c r="M38" i="4"/>
  <c r="C41" i="4"/>
  <c r="D36" i="4"/>
  <c r="M40" i="4"/>
  <c r="C39" i="4"/>
  <c r="M39" i="4"/>
  <c r="E38" i="4"/>
  <c r="D41" i="4"/>
  <c r="D39" i="4"/>
  <c r="C40" i="4"/>
  <c r="E39" i="4"/>
  <c r="E37" i="4"/>
  <c r="M37" i="4"/>
  <c r="E36" i="4"/>
  <c r="M41" i="4"/>
  <c r="C38" i="4"/>
  <c r="D40" i="4"/>
  <c r="E43" i="4" l="1"/>
  <c r="M43" i="4"/>
  <c r="C43" i="4"/>
  <c r="D43" i="4"/>
  <c r="G34" i="4"/>
  <c r="F58" i="4"/>
  <c r="F60" i="4"/>
  <c r="F56" i="4"/>
  <c r="F59" i="4"/>
  <c r="F55" i="4"/>
  <c r="F46" i="4" s="1"/>
  <c r="F57" i="4"/>
  <c r="F35" i="4"/>
  <c r="F38" i="4"/>
  <c r="F36" i="4"/>
  <c r="F39" i="4"/>
  <c r="F37" i="4"/>
  <c r="F41" i="4"/>
  <c r="F40" i="4"/>
  <c r="F43" i="4" l="1"/>
  <c r="G60" i="4"/>
  <c r="G56" i="4"/>
  <c r="H34" i="4"/>
  <c r="G58" i="4"/>
  <c r="G55" i="4"/>
  <c r="G46" i="4" s="1"/>
  <c r="G59" i="4"/>
  <c r="G57" i="4"/>
  <c r="G35" i="4"/>
  <c r="G39" i="4"/>
  <c r="G38" i="4"/>
  <c r="G40" i="4"/>
  <c r="G41" i="4"/>
  <c r="G37" i="4"/>
  <c r="G36" i="4"/>
  <c r="G43" i="4" l="1"/>
  <c r="H56" i="4"/>
  <c r="H58" i="4"/>
  <c r="I34" i="4"/>
  <c r="H60" i="4"/>
  <c r="H55" i="4"/>
  <c r="H46" i="4" s="1"/>
  <c r="H59" i="4"/>
  <c r="H35" i="4"/>
  <c r="H57" i="4"/>
  <c r="H40" i="4"/>
  <c r="H39" i="4"/>
  <c r="H36" i="4"/>
  <c r="H41" i="4"/>
  <c r="H37" i="4"/>
  <c r="H38" i="4"/>
  <c r="H43" i="4" l="1"/>
  <c r="I56" i="4"/>
  <c r="I58" i="4"/>
  <c r="J34" i="4"/>
  <c r="I60" i="4"/>
  <c r="I59" i="4"/>
  <c r="I35" i="4"/>
  <c r="I57" i="4"/>
  <c r="I55" i="4"/>
  <c r="I46" i="4" s="1"/>
  <c r="I38" i="4"/>
  <c r="I37" i="4"/>
  <c r="I40" i="4"/>
  <c r="I36" i="4"/>
  <c r="I41" i="4"/>
  <c r="I39" i="4"/>
  <c r="I43" i="4" l="1"/>
  <c r="J56" i="4"/>
  <c r="J60" i="4"/>
  <c r="K34" i="4"/>
  <c r="J58" i="4"/>
  <c r="J35" i="4"/>
  <c r="J59" i="4"/>
  <c r="J55" i="4"/>
  <c r="J46" i="4" s="1"/>
  <c r="J57" i="4"/>
  <c r="J38" i="4"/>
  <c r="J39" i="4"/>
  <c r="J41" i="4"/>
  <c r="J36" i="4"/>
  <c r="J40" i="4"/>
  <c r="J37" i="4"/>
  <c r="J43" i="4" l="1"/>
  <c r="K58" i="4"/>
  <c r="K56" i="4"/>
  <c r="L34" i="4"/>
  <c r="K60" i="4"/>
  <c r="K55" i="4"/>
  <c r="K46" i="4" s="1"/>
  <c r="K35" i="4"/>
  <c r="K57" i="4"/>
  <c r="K59" i="4"/>
  <c r="K37" i="4"/>
  <c r="K40" i="4"/>
  <c r="K41" i="4"/>
  <c r="K36" i="4"/>
  <c r="K38" i="4"/>
  <c r="K39" i="4"/>
  <c r="K43" i="4" l="1"/>
  <c r="L58" i="4"/>
  <c r="L56" i="4"/>
  <c r="L60" i="4"/>
  <c r="L55" i="4"/>
  <c r="L46" i="4" s="1"/>
  <c r="L59" i="4"/>
  <c r="L57" i="4"/>
  <c r="L35" i="4"/>
  <c r="L41" i="4"/>
  <c r="L38" i="4"/>
  <c r="L39" i="4"/>
  <c r="L37" i="4"/>
  <c r="L36" i="4"/>
  <c r="L40" i="4"/>
  <c r="L43" i="4" l="1"/>
</calcChain>
</file>

<file path=xl/sharedStrings.xml><?xml version="1.0" encoding="utf-8"?>
<sst xmlns="http://schemas.openxmlformats.org/spreadsheetml/2006/main" count="3354" uniqueCount="1014">
  <si>
    <t>SECURITY_DES</t>
  </si>
  <si>
    <t>Security Description</t>
  </si>
  <si>
    <t>FAIR_VALUE_CV</t>
  </si>
  <si>
    <t>IMPLIED_SPREAD_CV</t>
  </si>
  <si>
    <t>IMPLIED_VOLATILITY_CV</t>
  </si>
  <si>
    <t>Fair Value</t>
  </si>
  <si>
    <t>Implied Spread</t>
  </si>
  <si>
    <t>Implied Volatility</t>
  </si>
  <si>
    <t>Ticker</t>
  </si>
  <si>
    <t>Spread (Credit)</t>
  </si>
  <si>
    <t>Trade Date</t>
  </si>
  <si>
    <t>Stock Price</t>
  </si>
  <si>
    <t>TRADE_DATE_CV_MODEL</t>
  </si>
  <si>
    <t>CV_MODEL_STOCK_VOL</t>
  </si>
  <si>
    <t>CV_MODEL_UNDL_PX</t>
  </si>
  <si>
    <t>CV_MODEL_BORROW_COST</t>
  </si>
  <si>
    <t>FLAT_CREDIT_SPREAD_CV_MODEL</t>
  </si>
  <si>
    <t>CV_MODEL_BOND_VAL</t>
  </si>
  <si>
    <t>E2C_DECAY_FACTOR_CV_MODEL</t>
  </si>
  <si>
    <t>Bond Market Price</t>
  </si>
  <si>
    <t>BOND_RECOVERY_AMT_CV_MODEL</t>
  </si>
  <si>
    <t>Borrow Cost (%)</t>
  </si>
  <si>
    <t>Bond Recovery (%)</t>
  </si>
  <si>
    <t>E2C Decay</t>
  </si>
  <si>
    <t>Future DVD Yield</t>
  </si>
  <si>
    <t>FUTURE_DIVIDEND_YIELD_CV_MODEL</t>
  </si>
  <si>
    <t>Stock Volatility</t>
  </si>
  <si>
    <t>Cheapness (%)</t>
  </si>
  <si>
    <t>Delta (%)</t>
  </si>
  <si>
    <t>Delta (pts)</t>
  </si>
  <si>
    <t>Gamma</t>
  </si>
  <si>
    <t>Vega</t>
  </si>
  <si>
    <t>Theta</t>
  </si>
  <si>
    <t>Phi</t>
  </si>
  <si>
    <t>Psi</t>
  </si>
  <si>
    <t>Chi</t>
  </si>
  <si>
    <t>Upsilon</t>
  </si>
  <si>
    <t>CV_MODEL_DELTA_V</t>
  </si>
  <si>
    <t>DELTA_POINTS_CV_MODEL</t>
  </si>
  <si>
    <t>CV_MODEL_GAMMA_V</t>
  </si>
  <si>
    <t>CV_MODEL_VEGA</t>
  </si>
  <si>
    <t>THETA_CV_MODEL</t>
  </si>
  <si>
    <t>DVD_YIELD_SENSITIVITY_CV_MODEL</t>
  </si>
  <si>
    <t>BORROWING_COST_SENS_CV_MODEL</t>
  </si>
  <si>
    <t>FX_RATE_SENSITIVITY_CV_MODEL</t>
  </si>
  <si>
    <t>BOND_RECOVERY_RATE_SENS_CV_MODEL</t>
  </si>
  <si>
    <t>Soft Call Trigger</t>
  </si>
  <si>
    <t>CV_MODEL_PCT_CHEAPNESS</t>
  </si>
  <si>
    <t>SOFT_CALL_EFF_TRIGGER_CV_MODEL</t>
  </si>
  <si>
    <t>Unit Price</t>
  </si>
  <si>
    <t>Hedge Ratio</t>
  </si>
  <si>
    <t>Bond Floor</t>
  </si>
  <si>
    <t>HEDGE_RATIO</t>
  </si>
  <si>
    <t>CV_MODEL_PARITY</t>
  </si>
  <si>
    <t>Option Value</t>
  </si>
  <si>
    <t>Parity</t>
  </si>
  <si>
    <t>CV_PREMIUM_POINTS</t>
  </si>
  <si>
    <t>Premium (pts)</t>
  </si>
  <si>
    <t>CV_MODEL_FIXED_INC_VAL</t>
  </si>
  <si>
    <t>CV_MODEL_CNVS_PREM</t>
  </si>
  <si>
    <t>Premium (%)</t>
  </si>
  <si>
    <t>CV_PCT_PREMIUM</t>
  </si>
  <si>
    <t>Expected Life (Fugit)</t>
  </si>
  <si>
    <t>MEDIAN_EXPECTED_LIFE_CV_MODEL</t>
  </si>
  <si>
    <t>Interest Sensitivity</t>
  </si>
  <si>
    <t>INTEREST_RATE_SENSITIVITY</t>
  </si>
  <si>
    <t>Credit Sensitivity</t>
  </si>
  <si>
    <t>CREDIT_SENSITIVITY</t>
  </si>
  <si>
    <t>Convexity</t>
  </si>
  <si>
    <t>CV_MODEL_EFF_CNVX</t>
  </si>
  <si>
    <t>Effective Duration</t>
  </si>
  <si>
    <t>CV_MODEL_EFF_DUR</t>
  </si>
  <si>
    <t>Yield to Mty</t>
  </si>
  <si>
    <t>Yield to Call</t>
  </si>
  <si>
    <t>Yield to Put</t>
  </si>
  <si>
    <t>CV_YIELD_TO_MATURITY</t>
  </si>
  <si>
    <t>CV_YIELD_TO_CALL</t>
  </si>
  <si>
    <t>YIELD_TO_PUT_CV_MODEL</t>
  </si>
  <si>
    <t>Yield to Worst</t>
  </si>
  <si>
    <t>Current Yield</t>
  </si>
  <si>
    <t>YIELD_TO_WORST_CV_MODEL</t>
  </si>
  <si>
    <t>CURRENT_YIELD</t>
  </si>
  <si>
    <t>Breakeven (Y)</t>
  </si>
  <si>
    <t>CF Payback (Y)</t>
  </si>
  <si>
    <t>Accrued Interest</t>
  </si>
  <si>
    <t>BREAKEVEN_TIME_CV_MODEL</t>
  </si>
  <si>
    <t>CASHFLOW_PAYBACK_PERIOD</t>
  </si>
  <si>
    <t>INT_ACC</t>
  </si>
  <si>
    <t>Greek Calculation Type</t>
  </si>
  <si>
    <t>Mkt Price &amp; Vol</t>
  </si>
  <si>
    <t>Bond Selection</t>
  </si>
  <si>
    <t>Pricing Analysis</t>
  </si>
  <si>
    <t>User Input:</t>
  </si>
  <si>
    <t>Default:</t>
  </si>
  <si>
    <t>Market Price</t>
  </si>
  <si>
    <t>Volatility</t>
  </si>
  <si>
    <t>Jump Diffusion (JD) Analysis</t>
  </si>
  <si>
    <t>Implied Vol</t>
  </si>
  <si>
    <t>Effective Trig</t>
  </si>
  <si>
    <t>Exp Life (Fugit)</t>
  </si>
  <si>
    <t>IR Sens</t>
  </si>
  <si>
    <t>Credit Sens</t>
  </si>
  <si>
    <t>Effective Dur</t>
  </si>
  <si>
    <t>Unit Prc</t>
  </si>
  <si>
    <t>Accrued Int</t>
  </si>
  <si>
    <t>Bloomberg Mnemonic:</t>
  </si>
  <si>
    <t>Values Used:</t>
  </si>
  <si>
    <t>Bond CUR</t>
  </si>
  <si>
    <t>Stock CUR</t>
  </si>
  <si>
    <t>Stock Ticker</t>
  </si>
  <si>
    <t>Cusip</t>
  </si>
  <si>
    <t>Collateral</t>
  </si>
  <si>
    <t>Market</t>
  </si>
  <si>
    <t>ISIN</t>
  </si>
  <si>
    <t>Common</t>
  </si>
  <si>
    <t>Wertpapier</t>
  </si>
  <si>
    <t>Moody's Rating</t>
  </si>
  <si>
    <t>S&amp;P Rating</t>
  </si>
  <si>
    <t>Fitch Rating</t>
  </si>
  <si>
    <t>Div Protection</t>
  </si>
  <si>
    <t>Div Thresh</t>
  </si>
  <si>
    <t>Conv Prc</t>
  </si>
  <si>
    <t>Conv Ratio</t>
  </si>
  <si>
    <t>Par Amount</t>
  </si>
  <si>
    <t>Init Prm (%)</t>
  </si>
  <si>
    <t>Coupon</t>
  </si>
  <si>
    <t>Cpn Freq</t>
  </si>
  <si>
    <t>First Coupon</t>
  </si>
  <si>
    <t>Next Coupon</t>
  </si>
  <si>
    <t>CoCo Trig (%)</t>
  </si>
  <si>
    <t>Inc Share</t>
  </si>
  <si>
    <t>Curr Conv Ratio</t>
  </si>
  <si>
    <t>Proj Conv Ratio</t>
  </si>
  <si>
    <t>Div Carry Fwd</t>
  </si>
  <si>
    <t>Issue Amt</t>
  </si>
  <si>
    <t>Amt Out</t>
  </si>
  <si>
    <t>Issue Date</t>
  </si>
  <si>
    <t>Maturity</t>
  </si>
  <si>
    <t>Conv From</t>
  </si>
  <si>
    <t>Conv Until</t>
  </si>
  <si>
    <t>Day Count</t>
  </si>
  <si>
    <t>Lead Mgr</t>
  </si>
  <si>
    <t>Market Cap</t>
  </si>
  <si>
    <t>Ind Group</t>
  </si>
  <si>
    <t>Ind Sector</t>
  </si>
  <si>
    <t>Next Call Date</t>
  </si>
  <si>
    <t>Next Put Date</t>
  </si>
  <si>
    <t>Next Call Price</t>
  </si>
  <si>
    <t>Next Put Price</t>
  </si>
  <si>
    <t>BEst Est LT Gwth</t>
  </si>
  <si>
    <t>BEst EPS 1Y/2Y</t>
  </si>
  <si>
    <t>BEst P/E 1Y/2Y</t>
  </si>
  <si>
    <t>BEst PEG 1Y/2Y</t>
  </si>
  <si>
    <t>Prc vs 52W Hi</t>
  </si>
  <si>
    <t>Prc vs 52W Low</t>
  </si>
  <si>
    <t>Yearly Div</t>
  </si>
  <si>
    <t>Ex Code</t>
  </si>
  <si>
    <t>Description</t>
  </si>
  <si>
    <t>CV_BOND_CRNCY</t>
  </si>
  <si>
    <t>CV_COMMON_TICKER_EXCH</t>
  </si>
  <si>
    <t>CRNCY</t>
  </si>
  <si>
    <t>ID_CUSIP</t>
  </si>
  <si>
    <t>COLLAT_TYP</t>
  </si>
  <si>
    <t>MARKET_ISSUE</t>
  </si>
  <si>
    <t>ID_ISIN</t>
  </si>
  <si>
    <t>ID_COMMON</t>
  </si>
  <si>
    <t>ID_WERTPAPIER</t>
  </si>
  <si>
    <t>RTG_SP</t>
  </si>
  <si>
    <t>RTG_FITCH</t>
  </si>
  <si>
    <t>RTG_MOODY</t>
  </si>
  <si>
    <t>DVD_PROTECTION</t>
  </si>
  <si>
    <t>CURRENT_DVD_THRESHOLD</t>
  </si>
  <si>
    <t>CV_CNVS_PX</t>
  </si>
  <si>
    <t>CV_CNVS_RATIO</t>
  </si>
  <si>
    <t>PAR_AMT</t>
  </si>
  <si>
    <t>INITIAL_CONVERSION_PREMIUM</t>
  </si>
  <si>
    <t>CPN</t>
  </si>
  <si>
    <t>COUPON_FREQUENCY_DESCRIPTION</t>
  </si>
  <si>
    <t>FIRST_CPN_DT</t>
  </si>
  <si>
    <t>NXT_CPN_DT</t>
  </si>
  <si>
    <t>CONTINGENT_CNVS_TRIGGER</t>
  </si>
  <si>
    <t>HYPER_CONV_INCR_SHARE_FACTOR</t>
  </si>
  <si>
    <t>PROJECTED_CONVERSION_RATIO</t>
  </si>
  <si>
    <t>DIVIDEND_CARRY_FORWARD_AMOUNT</t>
  </si>
  <si>
    <t>AMT_ISSUED_MMM</t>
  </si>
  <si>
    <t>AMT_OUTSTANDING_MMM</t>
  </si>
  <si>
    <t>ISSUE_DT</t>
  </si>
  <si>
    <t>MATURITY</t>
  </si>
  <si>
    <t>CV_START_DT</t>
  </si>
  <si>
    <t>CV_UNTIL</t>
  </si>
  <si>
    <t>DAY_CNT_DES</t>
  </si>
  <si>
    <t>LEAD_MGR</t>
  </si>
  <si>
    <t>CRNCY_ADJ_MKT_CAP</t>
  </si>
  <si>
    <t>INDUSTRY_GROUP</t>
  </si>
  <si>
    <t>INDUSTRY_SECTOR</t>
  </si>
  <si>
    <t>NXT_CALL_DT</t>
  </si>
  <si>
    <t>NXT_PUT_DT</t>
  </si>
  <si>
    <t>NXT_CALL_PX</t>
  </si>
  <si>
    <t>NXT_PUT_PX</t>
  </si>
  <si>
    <t>EXCH_CODE</t>
  </si>
  <si>
    <t>EUR</t>
  </si>
  <si>
    <t>GBP</t>
  </si>
  <si>
    <t>USD</t>
  </si>
  <si>
    <t>JPY</t>
  </si>
  <si>
    <t>CAD</t>
  </si>
  <si>
    <t>CNY</t>
  </si>
  <si>
    <t>YCSW0045 Index</t>
  </si>
  <si>
    <t>YCSW0022 Index</t>
  </si>
  <si>
    <t>YCSW0023 Index</t>
  </si>
  <si>
    <t>YCSW0013 Index</t>
  </si>
  <si>
    <t>YCSW0004 Index</t>
  </si>
  <si>
    <t>YCSW0181 Index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</si>
  <si>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</si>
  <si>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</si>
  <si>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</si>
  <si>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</si>
  <si>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</si>
  <si>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</si>
  <si>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</si>
  <si>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</si>
  <si>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</si>
  <si>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</si>
  <si>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</si>
  <si>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</si>
  <si>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</si>
  <si>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</si>
  <si>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</si>
  <si>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</si>
  <si>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</si>
  <si>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</si>
  <si>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</si>
  <si>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</si>
  <si>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</si>
  <si>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</si>
  <si>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TE</t>
  </si>
  <si>
    <t>EN</t>
  </si>
  <si>
    <t>US</t>
  </si>
  <si>
    <t>JN</t>
  </si>
  <si>
    <t>CA</t>
  </si>
  <si>
    <t>CH</t>
  </si>
  <si>
    <t>Term</t>
  </si>
  <si>
    <t>Yield</t>
  </si>
  <si>
    <t>Maturity Date</t>
  </si>
  <si>
    <t>Yield Curve</t>
  </si>
  <si>
    <t>Credit Curve</t>
  </si>
  <si>
    <t>Spread (bps)</t>
  </si>
  <si>
    <t>1Y_MID_CDS_SPREAD</t>
  </si>
  <si>
    <t>2Y_MID_CDS_SPREAD</t>
  </si>
  <si>
    <t>3Y_MID_CDS_SPREAD</t>
  </si>
  <si>
    <t>4Y_MID_CDS_SPREAD</t>
  </si>
  <si>
    <t>5Y_MID_CDS_SPREAD</t>
  </si>
  <si>
    <t>6Y_MID_CDS_SPREAD</t>
  </si>
  <si>
    <t>7Y_MID_CDS_SPREAD</t>
  </si>
  <si>
    <t>8Y_MID_CDS_SPREAD</t>
  </si>
  <si>
    <t>9Y_MID_CDS_SPREAD</t>
  </si>
  <si>
    <t>10Y_MID_CDS_SPREAD</t>
  </si>
  <si>
    <t>6M_MID_CDS_SPREAD</t>
  </si>
  <si>
    <t>Dividends</t>
  </si>
  <si>
    <t>Ex-Date</t>
  </si>
  <si>
    <t>Amount</t>
  </si>
  <si>
    <t>Vol %</t>
  </si>
  <si>
    <t>Expiration Date</t>
  </si>
  <si>
    <t>Theo. Price</t>
  </si>
  <si>
    <t>X-Axis:</t>
  </si>
  <si>
    <t>Evaluation Date:</t>
  </si>
  <si>
    <t>Interest Rate Shift (in bp)</t>
  </si>
  <si>
    <t>Range:</t>
  </si>
  <si>
    <t>Price Shift (%)</t>
  </si>
  <si>
    <t>-</t>
  </si>
  <si>
    <t>Y-Axis:</t>
  </si>
  <si>
    <t>Scenario Table</t>
  </si>
  <si>
    <t>Range Dvr</t>
  </si>
  <si>
    <t>Stock Px</t>
  </si>
  <si>
    <t>Stock Volatility Shift</t>
  </si>
  <si>
    <t>Spread Shift (in bp)</t>
  </si>
  <si>
    <t>Recovery Rate (%)</t>
  </si>
  <si>
    <t>PARALLEL_YIELD_SHIFT_CV_MODEL</t>
  </si>
  <si>
    <t>Defaults</t>
  </si>
  <si>
    <t>Date:</t>
  </si>
  <si>
    <t>This application is a analytics tool for convertible bonds. It provides multi-security analytics and descriptive information for bonds including rich/cheap analysis, OAS analysis, and scenario analysis using the Jump-Diffusion Model.</t>
  </si>
  <si>
    <t>Portfolio Analysis Tab</t>
  </si>
  <si>
    <t>Pricing Analysis Tab</t>
  </si>
  <si>
    <t>Scenario Analysis Tab</t>
  </si>
  <si>
    <t>?</t>
  </si>
  <si>
    <t>Go to Pricing Analysis Tab</t>
  </si>
  <si>
    <t>Go to Scenario Analysis Tab</t>
  </si>
  <si>
    <t>CV_MODEL_POINTS</t>
  </si>
  <si>
    <t>CV_MODEL_PCT_PREMIUM</t>
  </si>
  <si>
    <t>MANDATORY_VOL_SPREAD_CV_MODEL</t>
  </si>
  <si>
    <t>Vol Spread</t>
  </si>
  <si>
    <t>Volatility Spread</t>
  </si>
  <si>
    <t>US01609WBG69 CORP</t>
  </si>
  <si>
    <t>US009066AB74 CORP</t>
  </si>
  <si>
    <t>DE000A4DFHK7 CORP</t>
  </si>
  <si>
    <t>US008073AA60 CORP</t>
  </si>
  <si>
    <t>US03040WBE49 CORP</t>
  </si>
  <si>
    <t>XS2597741102 CORP</t>
  </si>
  <si>
    <t>US19260QAF46 CORP</t>
  </si>
  <si>
    <t>XS2740429589 CORP</t>
  </si>
  <si>
    <t>XS2637952610 CORP</t>
  </si>
  <si>
    <t>US30212PBE43 CORP</t>
  </si>
  <si>
    <t>US345370CZ16 CORP</t>
  </si>
  <si>
    <t>XS2590764127 CORP</t>
  </si>
  <si>
    <t>US531229AQ58 CORP</t>
  </si>
  <si>
    <t>BE6327660591 CORP</t>
  </si>
  <si>
    <t>XS2607736407 CORP</t>
  </si>
  <si>
    <t>XS2557565830 CORP</t>
  </si>
  <si>
    <t>US47215PAJ57 CORP</t>
  </si>
  <si>
    <t>XS2630795404 CORP</t>
  </si>
  <si>
    <t>DE000A3L21D1 CORP</t>
  </si>
  <si>
    <t>XS2647856777 CORP</t>
  </si>
  <si>
    <t>DE000A2YPE76 CORP</t>
  </si>
  <si>
    <t>FR001400GVB0 CORP</t>
  </si>
  <si>
    <t>US65339KCY47 CORP</t>
  </si>
  <si>
    <t>XS2161819722 CORP</t>
  </si>
  <si>
    <t>US70202LAD47 CORP</t>
  </si>
  <si>
    <t>DE000A30V8T1 CORP</t>
  </si>
  <si>
    <t>US842587DZ77 CORP</t>
  </si>
  <si>
    <t>FR001400F2K3 CORP</t>
  </si>
  <si>
    <t>US84921RAB69 CORP</t>
  </si>
  <si>
    <t>FR001400R1R6 CORP</t>
  </si>
  <si>
    <t>FR001400M9F9 CORP</t>
  </si>
  <si>
    <t>US89677QAB32 CORP</t>
  </si>
  <si>
    <t>US90353TAM27 CORP</t>
  </si>
  <si>
    <t>XS2853493117 CORP</t>
  </si>
  <si>
    <t>XS2849520650 CORP</t>
  </si>
  <si>
    <t>ABNB 0 03/15/26</t>
  </si>
  <si>
    <t>18M</t>
  </si>
  <si>
    <t>#N/A N/A</t>
  </si>
  <si>
    <t>#N/A Invalid Security</t>
  </si>
  <si>
    <t>NA</t>
  </si>
  <si>
    <t>ANNGR 0 05/20/30</t>
  </si>
  <si>
    <t>AVAV 0 07/15/30</t>
  </si>
  <si>
    <t>AWK 3 5/8 06/15/26</t>
  </si>
  <si>
    <t>BABA 0 1/2 06/01/31</t>
  </si>
  <si>
    <t>CLNXSM 2 1/8 08/11/30</t>
  </si>
  <si>
    <t>COIN 0 1/4 04/01/30</t>
  </si>
  <si>
    <t>CPRIM 2 3/8 01/17/29</t>
  </si>
  <si>
    <t>ENIIM 2.95 09/14/30</t>
  </si>
  <si>
    <t>EXPE 0 02/15/26</t>
  </si>
  <si>
    <t>F 0 03/15/26</t>
  </si>
  <si>
    <t>FEMSA 2 5/8 02/24/26</t>
  </si>
  <si>
    <t>FWONK 2 1/4 08/15/27</t>
  </si>
  <si>
    <t>GBLBBB 0 04/01/26</t>
  </si>
  <si>
    <t>HYUELE 1 3/4 04/11/30</t>
  </si>
  <si>
    <t>IBESM 0.8 12/07/27</t>
  </si>
  <si>
    <t>JD 0 1/4 06/01/29</t>
  </si>
  <si>
    <t>LAGFNC 3 1/2 06/08/28</t>
  </si>
  <si>
    <t>LEGGR 1 09/04/30</t>
  </si>
  <si>
    <t>LGCHM 1.6 07/18/30</t>
  </si>
  <si>
    <t>MTXGR 0.05 03/18/27</t>
  </si>
  <si>
    <t>MWDP 2 5/8 03/27/26</t>
  </si>
  <si>
    <t>NEE 3 03/01/27</t>
  </si>
  <si>
    <t>NEXIIM 1 3/4 04/24/27</t>
  </si>
  <si>
    <t>PSN 2 5/8 03/01/29</t>
  </si>
  <si>
    <t>RHMGR 2 1/4 02/07/30</t>
  </si>
  <si>
    <t>SO 4 1/2 06/15/27</t>
  </si>
  <si>
    <t>SPIEFP 2 01/17/28</t>
  </si>
  <si>
    <t>SPOT 0 03/15/26</t>
  </si>
  <si>
    <t>SUFP 1 5/8 06/28/31</t>
  </si>
  <si>
    <t>SUFP 1.97 11/27/30</t>
  </si>
  <si>
    <t>TCOM 0 3/4 06/15/29</t>
  </si>
  <si>
    <t>UBER 0 7/8 12/01/28</t>
  </si>
  <si>
    <t>WIWYNN 0 07/17/29</t>
  </si>
  <si>
    <t>ZJMGCL 1 06/25/29</t>
  </si>
  <si>
    <t>Colonnes</t>
  </si>
  <si>
    <t>Contrib</t>
  </si>
  <si>
    <t>Sensi Equity</t>
  </si>
  <si>
    <t>Colonnes Selectionnées</t>
  </si>
  <si>
    <t>A  modifier</t>
  </si>
  <si>
    <t xml:space="preserve">Calculer Sensi </t>
  </si>
  <si>
    <t>Delta</t>
  </si>
  <si>
    <t>PORT</t>
  </si>
  <si>
    <t>XCV</t>
  </si>
  <si>
    <t>contrib_taux_sensi_XCV</t>
  </si>
  <si>
    <t>modified_duration</t>
  </si>
  <si>
    <t>contrib_taux_sensi</t>
  </si>
  <si>
    <t>effective_duration_XCV</t>
  </si>
  <si>
    <t>contrib_OAS</t>
  </si>
  <si>
    <t>Tx</t>
  </si>
  <si>
    <t>Spread</t>
  </si>
  <si>
    <t>Duration</t>
  </si>
  <si>
    <t>Credit</t>
  </si>
  <si>
    <t>contrib_equity_sensi</t>
  </si>
  <si>
    <t>contrib_equity_sensi_XCV</t>
  </si>
  <si>
    <t>contrib_implied_spread_XCV</t>
  </si>
  <si>
    <t>contrib_credit_sensi_XCV</t>
  </si>
  <si>
    <t>Equity</t>
  </si>
  <si>
    <t>DTS</t>
  </si>
  <si>
    <t>contrib_DTS</t>
  </si>
  <si>
    <t>contrib_DTS_XCV</t>
  </si>
  <si>
    <t>contrib_Current_Yield_XCV</t>
  </si>
  <si>
    <t>DE000A286LP0 CORP</t>
  </si>
  <si>
    <t>QGEN 0 12/17/27</t>
  </si>
  <si>
    <t>US852234AJ27 CORP</t>
  </si>
  <si>
    <t>XYZ 0 05/01/26</t>
  </si>
  <si>
    <t>US852234AK99 CORP</t>
  </si>
  <si>
    <t>XYZ 0 1/4 11/01/27</t>
  </si>
  <si>
    <t>FR0013521085 CORP</t>
  </si>
  <si>
    <t>ACFP 0.7 12/07/27</t>
  </si>
  <si>
    <t>US007973AE02 CORP</t>
  </si>
  <si>
    <t>AEIS 2 1/2 09/15/28</t>
  </si>
  <si>
    <t>US00971TAL52 CORP</t>
  </si>
  <si>
    <t>AKAM 0 3/8 09/01/27</t>
  </si>
  <si>
    <t>US00971TAN19 CORP</t>
  </si>
  <si>
    <t>AKAM 1 1/8 02/15/29</t>
  </si>
  <si>
    <t>US02043QAB32 CORP</t>
  </si>
  <si>
    <t>ALNY 1 09/15/27</t>
  </si>
  <si>
    <t>US011642AB16 CORP</t>
  </si>
  <si>
    <t>ALRM 0 01/15/26</t>
  </si>
  <si>
    <t>US011642AD71 CORP</t>
  </si>
  <si>
    <t>ALRM 2 1/4 06/01/29</t>
  </si>
  <si>
    <t>DE000A283WZ3 CORP</t>
  </si>
  <si>
    <t>AMSSW 2 1/8 11/03/27</t>
  </si>
  <si>
    <t>XS2413708442 CORP</t>
  </si>
  <si>
    <t>ANAIR 0 12/10/31</t>
  </si>
  <si>
    <t>DE000A4DFHL5 CORP</t>
  </si>
  <si>
    <t>ANNGR 0 7/8 05/20/32</t>
  </si>
  <si>
    <t>XS2944027726 CORP</t>
  </si>
  <si>
    <t>ANTASP 0 12/05/29</t>
  </si>
  <si>
    <t>US04271TAB61 CORP</t>
  </si>
  <si>
    <t>ARRY 1 12/01/28</t>
  </si>
  <si>
    <t>XS2306982286 CORP</t>
  </si>
  <si>
    <t>ASAHUS 0 03/16/26</t>
  </si>
  <si>
    <t>US04351PAD33 CORP</t>
  </si>
  <si>
    <t>ASND 2 1/4 04/01/28</t>
  </si>
  <si>
    <t>US05464CAB72 CORP</t>
  </si>
  <si>
    <t>AXON 0 1/2 12/15/27</t>
  </si>
  <si>
    <t>XS3086574004 CORP</t>
  </si>
  <si>
    <t>BABA 0 07/09/32</t>
  </si>
  <si>
    <t>XS2576250448 CORP</t>
  </si>
  <si>
    <t>BAC 0 01/30/26</t>
  </si>
  <si>
    <t>XS2938565673 CORP</t>
  </si>
  <si>
    <t>BAC 0.1 04/28/30</t>
  </si>
  <si>
    <t>XS2591236315 CORP</t>
  </si>
  <si>
    <t>BALDER 3 1/2 02/23/28</t>
  </si>
  <si>
    <t>US10806XAD49 CORP</t>
  </si>
  <si>
    <t>BBIO 2 1/4 02/01/29</t>
  </si>
  <si>
    <t>US10806XAB82 CORP</t>
  </si>
  <si>
    <t>BBIO 2 1/2 03/15/27</t>
  </si>
  <si>
    <t>US093712AK34 CORP</t>
  </si>
  <si>
    <t>BE 3 06/01/28</t>
  </si>
  <si>
    <t>US093712AM99 CORP</t>
  </si>
  <si>
    <t>BE 3 06/01/29</t>
  </si>
  <si>
    <t>XS3015248209 CORP</t>
  </si>
  <si>
    <t>BIDU 0 03/12/32</t>
  </si>
  <si>
    <t>US09239BAF67 CORP</t>
  </si>
  <si>
    <t>BL 1 06/01/29</t>
  </si>
  <si>
    <t>US09061GAK76 CORP</t>
  </si>
  <si>
    <t>BMRN 1 1/4 05/15/27</t>
  </si>
  <si>
    <t>US08265TAB52 CORP</t>
  </si>
  <si>
    <t>BSY 0 1/8 01/15/26</t>
  </si>
  <si>
    <t>US08265TAD19 CORP</t>
  </si>
  <si>
    <t>BSY 0 3/8 07/01/27</t>
  </si>
  <si>
    <t>XS2565604704 CORP</t>
  </si>
  <si>
    <t>C 0 02/26/26</t>
  </si>
  <si>
    <t>XS2566032095 CORP</t>
  </si>
  <si>
    <t>C 0 03/15/28</t>
  </si>
  <si>
    <t>XS3012928720 CORP</t>
  </si>
  <si>
    <t>C 0 10/10/28</t>
  </si>
  <si>
    <t>XS2982266343 CORP</t>
  </si>
  <si>
    <t>C 0.8 02/05/30</t>
  </si>
  <si>
    <t>XS2782912518 CORP</t>
  </si>
  <si>
    <t>C 1 04/09/29</t>
  </si>
  <si>
    <t>US12685JAE55 CORP</t>
  </si>
  <si>
    <t>CABO 0 03/15/26</t>
  </si>
  <si>
    <t>FR0014010U53 CORP</t>
  </si>
  <si>
    <t>CAROBL 1 1/2 12/01/30</t>
  </si>
  <si>
    <t>US143658BV39 CORP</t>
  </si>
  <si>
    <t>CCL 5 3/4 12/01/27</t>
  </si>
  <si>
    <t>US20717MAB90 CORP</t>
  </si>
  <si>
    <t>CFLT 0 01/15/27</t>
  </si>
  <si>
    <t>XS3101384447 CORP</t>
  </si>
  <si>
    <t>CHOTAI 0 3/8 06/30/30</t>
  </si>
  <si>
    <t>FR0013489739 CORP</t>
  </si>
  <si>
    <t>CLARFP 0 7/8 03/06/27</t>
  </si>
  <si>
    <t>XS2021212332 CORP</t>
  </si>
  <si>
    <t>CLNXSM 0 1/2 07/05/28</t>
  </si>
  <si>
    <t>XS2257580857 CORP</t>
  </si>
  <si>
    <t>CLNXSM 0 3/4 11/20/31</t>
  </si>
  <si>
    <t>US125896BX77 CORP</t>
  </si>
  <si>
    <t>CMS 3 3/8 05/01/28</t>
  </si>
  <si>
    <t>US207410AH48 CORP</t>
  </si>
  <si>
    <t>CNMD 2 1/4 06/15/27</t>
  </si>
  <si>
    <t>US15189TBD81 CORP</t>
  </si>
  <si>
    <t>CNP 4 1/4 08/15/26</t>
  </si>
  <si>
    <t>US19260QAB32 CORP</t>
  </si>
  <si>
    <t>COIN 0 1/2 06/01/26</t>
  </si>
  <si>
    <t>US126349AH20 CORP</t>
  </si>
  <si>
    <t>CSGS 3 7/8 09/15/28</t>
  </si>
  <si>
    <t>XS2550564251 CORP</t>
  </si>
  <si>
    <t>CYBAG 0 11/16/29</t>
  </si>
  <si>
    <t>US23282WAC47 CORP</t>
  </si>
  <si>
    <t>CYTK 3 1/2 07/01/27</t>
  </si>
  <si>
    <t>XS2676374239 CORP</t>
  </si>
  <si>
    <t>DAIFKU 0 09/13/30</t>
  </si>
  <si>
    <t>XS2676373694 CORP</t>
  </si>
  <si>
    <t>DAIFKU 0 09/14/28</t>
  </si>
  <si>
    <t>XS2743016607 CORP</t>
  </si>
  <si>
    <t>DAIWAH 0 03/29/30</t>
  </si>
  <si>
    <t>XS2743016193 CORP</t>
  </si>
  <si>
    <t>DAIWAH 0 03/30/29</t>
  </si>
  <si>
    <t>US15677JAD00 CORP</t>
  </si>
  <si>
    <t>DAY 0 1/4 03/15/26</t>
  </si>
  <si>
    <t>US26210CAC82 CORP</t>
  </si>
  <si>
    <t>DBX 0 03/01/26</t>
  </si>
  <si>
    <t>US26210CAD65 CORP</t>
  </si>
  <si>
    <t>DBX 0 03/01/28</t>
  </si>
  <si>
    <t>DE000A254Y92 CORP</t>
  </si>
  <si>
    <t>DEHEHO 1 01/23/27</t>
  </si>
  <si>
    <t>DE000A3H2WQ0 CORP</t>
  </si>
  <si>
    <t>DEHEHO 1 1/2 01/15/28</t>
  </si>
  <si>
    <t>DE000A3MP437 CORP</t>
  </si>
  <si>
    <t>DEHEHO 2 1/8 03/10/29</t>
  </si>
  <si>
    <t>DE000A30V5R1 CORP</t>
  </si>
  <si>
    <t>DEHEHO 3 1/4 02/21/30</t>
  </si>
  <si>
    <t>FR001400XE50 CORP</t>
  </si>
  <si>
    <t>DGFP 0.7 02/18/30</t>
  </si>
  <si>
    <t>XS2339426004 CORP</t>
  </si>
  <si>
    <t>DIAIM 0 05/05/28</t>
  </si>
  <si>
    <t>US26142RAB06 CORP</t>
  </si>
  <si>
    <t>DKNG 0 03/15/28</t>
  </si>
  <si>
    <t>CH1105195684 CORP</t>
  </si>
  <si>
    <t>DUFNSW 0 3/4 03/30/26</t>
  </si>
  <si>
    <t>US26441CBY03 CORP</t>
  </si>
  <si>
    <t>DUK 4 1/8 04/15/26</t>
  </si>
  <si>
    <t>US252131AK39 CORP</t>
  </si>
  <si>
    <t>DXCM 0 1/4 11/15/25</t>
  </si>
  <si>
    <t>US252131AM94 CORP</t>
  </si>
  <si>
    <t>DXCM 0 3/8 05/15/28</t>
  </si>
  <si>
    <t>XS2487637527 CORP</t>
  </si>
  <si>
    <t>DXSAU 3 1/2 11/24/27</t>
  </si>
  <si>
    <t>FR0014003YP6 CORP</t>
  </si>
  <si>
    <t>EDENFP 0 06/14/28</t>
  </si>
  <si>
    <t>FR001400AFJ9 CORP</t>
  </si>
  <si>
    <t>ELISGP 2 1/4 09/22/29</t>
  </si>
  <si>
    <t>US194014AB28 CORP</t>
  </si>
  <si>
    <t>ENOV 3 7/8 10/15/28</t>
  </si>
  <si>
    <t>US29355AAH05 CORP</t>
  </si>
  <si>
    <t>ENPH 0 03/01/26</t>
  </si>
  <si>
    <t>US29355AAK34 CORP</t>
  </si>
  <si>
    <t>ENPH 0 03/01/28</t>
  </si>
  <si>
    <t>IT0006769316 CORP</t>
  </si>
  <si>
    <t>ENXFP 1 1/2 05/30/32</t>
  </si>
  <si>
    <t>US29786AAN63 CORP</t>
  </si>
  <si>
    <t>ETSY 0 1/4 06/15/28</t>
  </si>
  <si>
    <t>US29786AAL08 CORP</t>
  </si>
  <si>
    <t>ETSY 0 1/8 09/01/27</t>
  </si>
  <si>
    <t>US29786AAJ51 CORP</t>
  </si>
  <si>
    <t>ETSY 0 1/8 10/01/26</t>
  </si>
  <si>
    <t>US30050BAH42 CORP</t>
  </si>
  <si>
    <t>EVH 3 1/2 12/01/29</t>
  </si>
  <si>
    <t>US30034WAD83 CORP</t>
  </si>
  <si>
    <t>EVRG 4 1/2 12/15/27</t>
  </si>
  <si>
    <t>US30063PAC95 CORP</t>
  </si>
  <si>
    <t>EXAS 0 3/8 03/01/28</t>
  </si>
  <si>
    <t>US30063PAB13 CORP</t>
  </si>
  <si>
    <t>EXAS 0 3/8 03/15/27</t>
  </si>
  <si>
    <t>XS2633836304 CORP</t>
  </si>
  <si>
    <t>FERTEC 0 06/23/28</t>
  </si>
  <si>
    <t>US338307AF80 CORP</t>
  </si>
  <si>
    <t>FIVN 1 03/15/29</t>
  </si>
  <si>
    <t>US343412AJ13 CORP</t>
  </si>
  <si>
    <t>FLR 1 1/8 08/15/29</t>
  </si>
  <si>
    <t>US82452JAB52 CORP</t>
  </si>
  <si>
    <t>FOUR 0 12/15/25</t>
  </si>
  <si>
    <t>US82452JAD19 CORP</t>
  </si>
  <si>
    <t>FOUR 0 1/2 08/01/27</t>
  </si>
  <si>
    <t>DE000A4DFSR9 CORP</t>
  </si>
  <si>
    <t>FREGR 0 03/11/28</t>
  </si>
  <si>
    <t>US358039AB12 CORP</t>
  </si>
  <si>
    <t>FRPT 3 04/01/28</t>
  </si>
  <si>
    <t>US33835LAA35 CORP</t>
  </si>
  <si>
    <t>FVRR 0 11/01/25</t>
  </si>
  <si>
    <t>US393657AM33 CORP</t>
  </si>
  <si>
    <t>GBX 2 7/8 04/15/28</t>
  </si>
  <si>
    <t>US401617AF24 CORP</t>
  </si>
  <si>
    <t>GES 3 3/4 04/15/28</t>
  </si>
  <si>
    <t>US40131MAB54 CORP</t>
  </si>
  <si>
    <t>GH 0 11/15/27</t>
  </si>
  <si>
    <t>US40131MAD11 CORP</t>
  </si>
  <si>
    <t>GH 1 1/4 02/15/31</t>
  </si>
  <si>
    <t>XS2653508528 CORP</t>
  </si>
  <si>
    <t>GIGA 0 07/27/28</t>
  </si>
  <si>
    <t>US37940XAU63 CORP</t>
  </si>
  <si>
    <t>GPN 1 1/2 03/01/31</t>
  </si>
  <si>
    <t>USG4124CAA74 CORP</t>
  </si>
  <si>
    <t>GRAB 0 06/15/30</t>
  </si>
  <si>
    <t>XS2482869208 CORP</t>
  </si>
  <si>
    <t>GS 0 03/07/30</t>
  </si>
  <si>
    <t>XS2684455871 CORP</t>
  </si>
  <si>
    <t>GS 0 03/13/28</t>
  </si>
  <si>
    <t>XS2688837207 CORP</t>
  </si>
  <si>
    <t>GS 0 03/15/27</t>
  </si>
  <si>
    <t>XS2958341708 CORP</t>
  </si>
  <si>
    <t>GS 0 05/07/30</t>
  </si>
  <si>
    <t>US387328AF41 CORP</t>
  </si>
  <si>
    <t>GVA 3 1/4 06/15/30</t>
  </si>
  <si>
    <t>US387328AD92 CORP</t>
  </si>
  <si>
    <t>GVA 3 3/4 05/15/28</t>
  </si>
  <si>
    <t>US405024AB67 CORP</t>
  </si>
  <si>
    <t>HAE 0 03/01/26</t>
  </si>
  <si>
    <t>US405024AD24 CORP</t>
  </si>
  <si>
    <t>HAE 2 1/2 06/01/29</t>
  </si>
  <si>
    <t>US40637HAD17 CORP</t>
  </si>
  <si>
    <t>HALO 0 1/4 03/01/27</t>
  </si>
  <si>
    <t>US40637HAF64 CORP</t>
  </si>
  <si>
    <t>HALO 1 08/15/28</t>
  </si>
  <si>
    <t>XS3121798576 CORP</t>
  </si>
  <si>
    <t>HAPEVH 0 1/2 07/16/30</t>
  </si>
  <si>
    <t>XS3031464400 CORP</t>
  </si>
  <si>
    <t>HONGQI 1 1/2 03/26/30</t>
  </si>
  <si>
    <t>XS2363250759 CORP</t>
  </si>
  <si>
    <t>HONHAI 0 08/05/26</t>
  </si>
  <si>
    <t>XS2886113278 CORP</t>
  </si>
  <si>
    <t>HONHAI 0 10/24/29</t>
  </si>
  <si>
    <t>US44332NAB29 CORP</t>
  </si>
  <si>
    <t>HTHT 3 05/01/26</t>
  </si>
  <si>
    <t>XS2343113101 CORP</t>
  </si>
  <si>
    <t>IAGLN 1 1/8 05/18/28</t>
  </si>
  <si>
    <t>XS3034368806 CORP</t>
  </si>
  <si>
    <t>IBESM 1 1/2 03/27/30</t>
  </si>
  <si>
    <t>XS2774311224 CORP</t>
  </si>
  <si>
    <t>IBIDEN 0 03/14/31</t>
  </si>
  <si>
    <t>US45867GAD34 CORP</t>
  </si>
  <si>
    <t>IDCC 3 1/2 06/01/27</t>
  </si>
  <si>
    <t>US45258DAB10 CORP</t>
  </si>
  <si>
    <t>IMCR 2 1/2 02/01/30</t>
  </si>
  <si>
    <t>XS2790912138 CORP</t>
  </si>
  <si>
    <t>INFRNR 0 03/30/29</t>
  </si>
  <si>
    <t>US462222AD25 CORP</t>
  </si>
  <si>
    <t>IONS 0 04/01/26</t>
  </si>
  <si>
    <t>US462222AF72 CORP</t>
  </si>
  <si>
    <t>IONS 1 3/4 06/15/28</t>
  </si>
  <si>
    <t>USG4939KAF33 CORP</t>
  </si>
  <si>
    <t>IQ 6 1/2 03/15/28</t>
  </si>
  <si>
    <t>US450056AB23 CORP</t>
  </si>
  <si>
    <t>IRTC 1 1/2 09/01/29</t>
  </si>
  <si>
    <t>US465741AN69 CORP</t>
  </si>
  <si>
    <t>ITRI 0 03/15/26</t>
  </si>
  <si>
    <t>US465741AQ90 CORP</t>
  </si>
  <si>
    <t>ITRI 1 3/8 07/15/30</t>
  </si>
  <si>
    <t>XS2270378149 CORP</t>
  </si>
  <si>
    <t>IWGLN 0 1/2 12/09/27</t>
  </si>
  <si>
    <t>US47074LAB18 CORP</t>
  </si>
  <si>
    <t>JAMF 0 1/8 09/01/26</t>
  </si>
  <si>
    <t>US472145AF83 CORP</t>
  </si>
  <si>
    <t>JAZZ 2 06/15/26</t>
  </si>
  <si>
    <t>US477143AP66 CORP</t>
  </si>
  <si>
    <t>JBLU 0 1/2 04/01/26</t>
  </si>
  <si>
    <t>US477143AR23 CORP</t>
  </si>
  <si>
    <t>JBLU 2 1/2 09/01/29</t>
  </si>
  <si>
    <t>US477839AB04 CORP</t>
  </si>
  <si>
    <t>JBTM 0 1/4 05/15/26</t>
  </si>
  <si>
    <t>XS2682313585 CORP</t>
  </si>
  <si>
    <t>JFEHLD 0 09/28/28</t>
  </si>
  <si>
    <t>XS3042808835 CORP</t>
  </si>
  <si>
    <t>JPM 0 04/11/28</t>
  </si>
  <si>
    <t>XS3041309207 CORP</t>
  </si>
  <si>
    <t>JPM 0 1/2 03/27/30</t>
  </si>
  <si>
    <t>XS3076174393 CORP</t>
  </si>
  <si>
    <t>JPM 0.1 05/20/30</t>
  </si>
  <si>
    <t>XS2920522435 CORP</t>
  </si>
  <si>
    <t>KACAPI 0 11/05/29</t>
  </si>
  <si>
    <t>XS2771423337 CORP</t>
  </si>
  <si>
    <t>KANPNT 0 03/07/31</t>
  </si>
  <si>
    <t>XS2771423170 CORP</t>
  </si>
  <si>
    <t>KANPNT 0 03/08/29</t>
  </si>
  <si>
    <t>XS3111001650 CORP</t>
  </si>
  <si>
    <t>KAUMKG 1 3/4 07/10/30</t>
  </si>
  <si>
    <t>XS3111160886 CORP</t>
  </si>
  <si>
    <t>KNBZMK 2 1/4 08/14/30</t>
  </si>
  <si>
    <t>XS2727920626 CORP</t>
  </si>
  <si>
    <t>KOBSTL 0 12/13/30</t>
  </si>
  <si>
    <t>XS2727915899 CORP</t>
  </si>
  <si>
    <t>KOBSTL 0 12/14/28</t>
  </si>
  <si>
    <t>US500688AH90 CORP</t>
  </si>
  <si>
    <t>KOS 3 1/8 03/15/30</t>
  </si>
  <si>
    <t>XS2286049338 CORP</t>
  </si>
  <si>
    <t>KYOMAI 0 01/29/26</t>
  </si>
  <si>
    <t>DE000A289T23 CORP</t>
  </si>
  <si>
    <t>LEGGR 0.4 06/30/28</t>
  </si>
  <si>
    <t>XS2523390867 CORP</t>
  </si>
  <si>
    <t>LENOVO 2 1/2 08/26/29</t>
  </si>
  <si>
    <t>XS3072393450 CORP</t>
  </si>
  <si>
    <t>LGCHM 1 3/4 06/16/28</t>
  </si>
  <si>
    <t>US50202MAB81 CORP</t>
  </si>
  <si>
    <t>LI 0 1/4 05/01/28</t>
  </si>
  <si>
    <t>XS2560662541 CORP</t>
  </si>
  <si>
    <t>LINREI 4 1/2 12/12/27</t>
  </si>
  <si>
    <t>US55024UAF66 CORP</t>
  </si>
  <si>
    <t>LITE 0 1/2 06/15/28</t>
  </si>
  <si>
    <t>US55024UAD19 CORP</t>
  </si>
  <si>
    <t>LITE 0 1/2 12/15/26</t>
  </si>
  <si>
    <t>US55024UAH23 CORP</t>
  </si>
  <si>
    <t>LITE 1 1/2 12/15/29</t>
  </si>
  <si>
    <t>US018802AC24 CORP</t>
  </si>
  <si>
    <t>LNT 3 7/8 03/15/26</t>
  </si>
  <si>
    <t>US516544AB96 CORP</t>
  </si>
  <si>
    <t>LNTH 2 5/8 12/15/27</t>
  </si>
  <si>
    <t>FR0014010NZ3 CORP</t>
  </si>
  <si>
    <t>LRFP 1 1/2 06/23/33</t>
  </si>
  <si>
    <t>US86333MAA62 CORP</t>
  </si>
  <si>
    <t>LRN 1 1/8 09/01/27</t>
  </si>
  <si>
    <t>US55087PAD69 CORP</t>
  </si>
  <si>
    <t>LYFT 0 5/8 03/01/29</t>
  </si>
  <si>
    <t>US538034BA63 CORP</t>
  </si>
  <si>
    <t>LYV 3 1/8 01/15/29</t>
  </si>
  <si>
    <t>US595017BG84 CORP</t>
  </si>
  <si>
    <t>MCHP 0 3/4 06/01/30</t>
  </si>
  <si>
    <t>XS2333569056 CORP</t>
  </si>
  <si>
    <t>MEITUA 0 04/27/28</t>
  </si>
  <si>
    <t>XS2972964857 CORP</t>
  </si>
  <si>
    <t>MINISO 0 1/2 01/14/32</t>
  </si>
  <si>
    <t>US55306NAB01 CORP</t>
  </si>
  <si>
    <t>MKSI 1 1/4 06/01/30</t>
  </si>
  <si>
    <t>XS2996253626 CORP</t>
  </si>
  <si>
    <t>MS 0 03/21/28</t>
  </si>
  <si>
    <t>XS3046827369 CORP</t>
  </si>
  <si>
    <t>MSCOT 3.95 04/22/30</t>
  </si>
  <si>
    <t>US594972AR21 CORP</t>
  </si>
  <si>
    <t>MSTR 0 12/01/29</t>
  </si>
  <si>
    <t>US594972AJ05 CORP</t>
  </si>
  <si>
    <t>MSTR 0 5/8 03/15/30</t>
  </si>
  <si>
    <t>US594972AL50 CORP</t>
  </si>
  <si>
    <t>MSTR 0 7/8 03/15/31</t>
  </si>
  <si>
    <t>US594972AN17 CORP</t>
  </si>
  <si>
    <t>MSTR 2 1/4 06/15/32</t>
  </si>
  <si>
    <t>US59001ABF84 CORP</t>
  </si>
  <si>
    <t>MTH 1 3/4 05/15/28</t>
  </si>
  <si>
    <t>US91879QAN97 CORP</t>
  </si>
  <si>
    <t>MTN 0 01/01/26</t>
  </si>
  <si>
    <t>XS2829204929 CORP</t>
  </si>
  <si>
    <t>NAGOYA 0 06/16/34</t>
  </si>
  <si>
    <t>XS2829204762 CORP</t>
  </si>
  <si>
    <t>NAGOYA 0 06/17/33</t>
  </si>
  <si>
    <t>US18915MAC10 CORP</t>
  </si>
  <si>
    <t>NET 0 08/15/26</t>
  </si>
  <si>
    <t>XS2305842903 CORP</t>
  </si>
  <si>
    <t>NEXIIM 0 02/24/28</t>
  </si>
  <si>
    <t>US62914VAJ52 CORP</t>
  </si>
  <si>
    <t>NIO 3 7/8 10/15/29</t>
  </si>
  <si>
    <t>US62914VAK26 CORP</t>
  </si>
  <si>
    <t>NIO 4 5/8 10/15/30</t>
  </si>
  <si>
    <t>XS2949603257 CORP</t>
  </si>
  <si>
    <t>NIPKON 0 12/12/31</t>
  </si>
  <si>
    <t>XS2382923790 CORP</t>
  </si>
  <si>
    <t>NISSHO 0 09/25/26</t>
  </si>
  <si>
    <t>US665531AJ80 CORP</t>
  </si>
  <si>
    <t>NOG 3 5/8 04/15/29</t>
  </si>
  <si>
    <t>XS3105284809 CORP</t>
  </si>
  <si>
    <t>NSANY 1 07/15/31</t>
  </si>
  <si>
    <t>XS2679880307 CORP</t>
  </si>
  <si>
    <t>NTNCRP 0 12/19/25</t>
  </si>
  <si>
    <t>US67059NAH17 CORP</t>
  </si>
  <si>
    <t>NTNX 0 1/4 10/01/27</t>
  </si>
  <si>
    <t>US67011XAB91 CORP</t>
  </si>
  <si>
    <t>NVCR 0 11/01/25</t>
  </si>
  <si>
    <t>US29415FAD69 CORP</t>
  </si>
  <si>
    <t>NVST 1 3/4 08/15/28</t>
  </si>
  <si>
    <t>XS2190455811 CORP</t>
  </si>
  <si>
    <t>OCDOLN 0 3/4 01/18/27</t>
  </si>
  <si>
    <t>US682189AS48 CORP</t>
  </si>
  <si>
    <t>ON 0 05/01/27</t>
  </si>
  <si>
    <t>US682189AU93 CORP</t>
  </si>
  <si>
    <t>ON 0 1/2 03/01/29</t>
  </si>
  <si>
    <t>US686688AB85 CORP</t>
  </si>
  <si>
    <t>ORA 2 1/2 07/15/27</t>
  </si>
  <si>
    <t>XS2730213290 CORP</t>
  </si>
  <si>
    <t>OSGMFG 0 12/20/30</t>
  </si>
  <si>
    <t>US671044AF25 CORP</t>
  </si>
  <si>
    <t>OSIS 2 1/4 08/01/29</t>
  </si>
  <si>
    <t>XS2584105055 CORP</t>
  </si>
  <si>
    <t>PARKTF 0 02/24/28</t>
  </si>
  <si>
    <t>US69331CAL28 CORP</t>
  </si>
  <si>
    <t>PCG 4 1/4 12/01/27</t>
  </si>
  <si>
    <t>XS2276552598 CORP</t>
  </si>
  <si>
    <t>PCIM 0 12/22/25</t>
  </si>
  <si>
    <t>US69553PAD24 CORP</t>
  </si>
  <si>
    <t>PD 1 1/2 10/15/28</t>
  </si>
  <si>
    <t>US722304AC65 CORP</t>
  </si>
  <si>
    <t>PDD 0 12/01/25</t>
  </si>
  <si>
    <t>US70509VAA89 CORP</t>
  </si>
  <si>
    <t>PEB 1 3/4 12/15/26</t>
  </si>
  <si>
    <t>XS2924174381 CORP</t>
  </si>
  <si>
    <t>PINGRP 0 06/11/30</t>
  </si>
  <si>
    <t>XS2859746237 CORP</t>
  </si>
  <si>
    <t>PINGRP 0 7/8 07/22/29</t>
  </si>
  <si>
    <t>US723484AK73 CORP</t>
  </si>
  <si>
    <t>PNW 4 3/4 06/15/27</t>
  </si>
  <si>
    <t>US737446AT14 CORP</t>
  </si>
  <si>
    <t>POST 2 1/2 08/15/27</t>
  </si>
  <si>
    <t>US69352PAS20 CORP</t>
  </si>
  <si>
    <t>PPL 2 7/8 03/15/28</t>
  </si>
  <si>
    <t>US743312AB62 CORP</t>
  </si>
  <si>
    <t>PRGS 1 04/15/26</t>
  </si>
  <si>
    <t>US743312AD29 CORP</t>
  </si>
  <si>
    <t>PRGS 3 1/2 03/01/30</t>
  </si>
  <si>
    <t>US70614WAD20 CORP</t>
  </si>
  <si>
    <t>PTON 5 1/2 12/01/29</t>
  </si>
  <si>
    <t>DE000A3L06J9 CORP</t>
  </si>
  <si>
    <t>QGEN 2 1/2 09/10/31</t>
  </si>
  <si>
    <t>XS2894149595 CORP</t>
  </si>
  <si>
    <t>QUANTA 0 09/16/29</t>
  </si>
  <si>
    <t>DE000A3E44N7 CORP</t>
  </si>
  <si>
    <t>RAGSTF 0 06/17/26</t>
  </si>
  <si>
    <t>DE000A30VPN9 CORP</t>
  </si>
  <si>
    <t>RAGSTF 1 7/8 11/16/29</t>
  </si>
  <si>
    <t>DE000A352B25 CORP</t>
  </si>
  <si>
    <t>RAGSTF 2 1/4 11/28/30</t>
  </si>
  <si>
    <t>US75737FAE88 CORP</t>
  </si>
  <si>
    <t>RDFN 0 1/2 04/01/27</t>
  </si>
  <si>
    <t>XS2267079643 CORP</t>
  </si>
  <si>
    <t>RELGRI 0 12/17/27</t>
  </si>
  <si>
    <t>US759916AD17 CORP</t>
  </si>
  <si>
    <t>RGEN 1 12/15/28</t>
  </si>
  <si>
    <t>US76954AAD54 CORP</t>
  </si>
  <si>
    <t>RIVN 3 5/8 10/15/30</t>
  </si>
  <si>
    <t>US76954AAB98 CORP</t>
  </si>
  <si>
    <t>RIVN 4 5/8 03/15/29</t>
  </si>
  <si>
    <t>US76680RAH03 CORP</t>
  </si>
  <si>
    <t>RNG 0 03/15/26</t>
  </si>
  <si>
    <t>XS2799621680 CORP</t>
  </si>
  <si>
    <t>ROHMCO 0 04/24/29</t>
  </si>
  <si>
    <t>XS2799622068 CORP</t>
  </si>
  <si>
    <t>ROHMCO 0 04/24/31</t>
  </si>
  <si>
    <t>XS3016528872 CORP</t>
  </si>
  <si>
    <t>ROHTO 0 03/15/32</t>
  </si>
  <si>
    <t>US753422AF15 CORP</t>
  </si>
  <si>
    <t>RPD 0 1/4 03/15/27</t>
  </si>
  <si>
    <t>US86771WAD74 CORP</t>
  </si>
  <si>
    <t>RUN 4 03/01/30</t>
  </si>
  <si>
    <t>XS2726459816 CORP</t>
  </si>
  <si>
    <t>SANRIO 0 12/14/28</t>
  </si>
  <si>
    <t>XS2546248373 CORP</t>
  </si>
  <si>
    <t>SASOL 4 1/2 11/08/27</t>
  </si>
  <si>
    <t>US278768AB27 CORP</t>
  </si>
  <si>
    <t>SATS 3 7/8 11/30/30</t>
  </si>
  <si>
    <t>XS2857240316 CORP</t>
  </si>
  <si>
    <t>SBIHLD 0 07/25/31</t>
  </si>
  <si>
    <t>US81141RAG56 CORP</t>
  </si>
  <si>
    <t>SEALTD 0 1/4 09/15/26</t>
  </si>
  <si>
    <t>US81141RAF73 CORP</t>
  </si>
  <si>
    <t>SEALTD 2 3/8 12/01/25</t>
  </si>
  <si>
    <t>XS2315948849 CORP</t>
  </si>
  <si>
    <t>SEINO 0 03/31/26</t>
  </si>
  <si>
    <t>XS3108363030 CORP</t>
  </si>
  <si>
    <t>SFHOLD 0 07/08/26</t>
  </si>
  <si>
    <t>XS2725834043 CORP</t>
  </si>
  <si>
    <t>SGLSJ 4 1/4 11/28/28</t>
  </si>
  <si>
    <t>XS2809275899 CORP</t>
  </si>
  <si>
    <t>SHODNK 0 12/29/28</t>
  </si>
  <si>
    <t>US82509LAA52 CORP</t>
  </si>
  <si>
    <t>SHOPCN 0 1/8 11/01/25</t>
  </si>
  <si>
    <t>XS2260025296 CORP</t>
  </si>
  <si>
    <t>SIASP 1 5/8 12/03/25</t>
  </si>
  <si>
    <t>XS3037621086 CORP</t>
  </si>
  <si>
    <t>SINOPE 0 3/4 05/20/32</t>
  </si>
  <si>
    <t>US531229AP75 CORP</t>
  </si>
  <si>
    <t>SIRI 3 3/4 03/15/28</t>
  </si>
  <si>
    <t>US86800UAB08 CORP</t>
  </si>
  <si>
    <t>SMCI 3 1/2 03/01/29</t>
  </si>
  <si>
    <t>XS2339232147 CORP</t>
  </si>
  <si>
    <t>SMWHLN 1 5/8 05/07/26</t>
  </si>
  <si>
    <t>US83304AAK25 CORP</t>
  </si>
  <si>
    <t>SNAP 0 1/2 05/01/30</t>
  </si>
  <si>
    <t>US83304AAH95 CORP</t>
  </si>
  <si>
    <t>SNAP 0 1/8 03/01/28</t>
  </si>
  <si>
    <t>US842587DP95 CORP</t>
  </si>
  <si>
    <t>SO 3 7/8 12/15/25</t>
  </si>
  <si>
    <t>XS2717010552 CORP</t>
  </si>
  <si>
    <t>SOSEIG 0 1/4 12/14/28</t>
  </si>
  <si>
    <t>US84762LAZ85 CORP</t>
  </si>
  <si>
    <t>SPB 3 3/8 06/01/29</t>
  </si>
  <si>
    <t>XS2713344195 CORP</t>
  </si>
  <si>
    <t>SPG 3 1/2 11/14/26</t>
  </si>
  <si>
    <t>XS2677538493 CORP</t>
  </si>
  <si>
    <t>SPMIM 2 7/8 09/11/29</t>
  </si>
  <si>
    <t>XS2693301124 CORP</t>
  </si>
  <si>
    <t>SRGIM 3 1/4 09/29/28</t>
  </si>
  <si>
    <t>US803607AD25 CORP</t>
  </si>
  <si>
    <t>SRPT 1 1/4 09/15/27</t>
  </si>
  <si>
    <t>XS2211997239 CORP</t>
  </si>
  <si>
    <t>STM 0 08/04/27</t>
  </si>
  <si>
    <t>US85571BBA26 CORP</t>
  </si>
  <si>
    <t>STWD 6 3/4 07/15/27</t>
  </si>
  <si>
    <t>US81180WBL46 CORP</t>
  </si>
  <si>
    <t>STX 3 1/2 06/01/28</t>
  </si>
  <si>
    <t>XS2973002707 CORP</t>
  </si>
  <si>
    <t>TAICEM 0 03/28/30</t>
  </si>
  <si>
    <t>XS2700269660 CORP</t>
  </si>
  <si>
    <t>TAIYUD 0 10/18/30</t>
  </si>
  <si>
    <t>XS1915588559 CORP</t>
  </si>
  <si>
    <t>TAKASH 0 12/06/28</t>
  </si>
  <si>
    <t>USG9066FAA96 CORP</t>
  </si>
  <si>
    <t>TCOM 1 1/2 07/01/27</t>
  </si>
  <si>
    <t>US87918AAF21 CORP</t>
  </si>
  <si>
    <t>TDOC 1 1/4 06/01/27</t>
  </si>
  <si>
    <t>DE000A4DFC57 CORP</t>
  </si>
  <si>
    <t>TEGGR 0 5/8 03/11/31</t>
  </si>
  <si>
    <t>DE000A3E46Y9 CORP</t>
  </si>
  <si>
    <t>TEGGR 0 5/8 08/27/26</t>
  </si>
  <si>
    <t>XS2296021798 CORP</t>
  </si>
  <si>
    <t>TKWYNA 0 5/8 02/09/28</t>
  </si>
  <si>
    <t>XS2862961492 CORP</t>
  </si>
  <si>
    <t>TLXAU 2 3/8 07/30/29</t>
  </si>
  <si>
    <t>US89377MAB54 CORP</t>
  </si>
  <si>
    <t>TMDX 1 1/2 06/01/28</t>
  </si>
  <si>
    <t>XS2635167450 CORP</t>
  </si>
  <si>
    <t>TOKYU 0 09/29/28</t>
  </si>
  <si>
    <t>XS2635167963 CORP</t>
  </si>
  <si>
    <t>TOKYU 0 09/30/30</t>
  </si>
  <si>
    <t>XS2833372514 CORP</t>
  </si>
  <si>
    <t>TRIDOL 0 06/20/31</t>
  </si>
  <si>
    <t>US88162GAB95 CORP</t>
  </si>
  <si>
    <t>TTEK 2 1/4 08/15/28</t>
  </si>
  <si>
    <t>DE000A383JQ7 CORP</t>
  </si>
  <si>
    <t>TUIGR 1.95 07/26/31</t>
  </si>
  <si>
    <t>US902252AB17 CORP</t>
  </si>
  <si>
    <t>TYL 0 1/4 03/15/26</t>
  </si>
  <si>
    <t>US91332UAB70 CORP</t>
  </si>
  <si>
    <t>U 0 11/15/26</t>
  </si>
  <si>
    <t>US90353TAJ97 CORP</t>
  </si>
  <si>
    <t>UBER 0 12/15/25</t>
  </si>
  <si>
    <t>FR001400DV38 CORP</t>
  </si>
  <si>
    <t>UBIFP 2 3/8 11/15/28</t>
  </si>
  <si>
    <t>FR001400MA32 CORP</t>
  </si>
  <si>
    <t>UBIFP 2 7/8 12/05/31</t>
  </si>
  <si>
    <t>US902681AB18 CORP</t>
  </si>
  <si>
    <t>UGI 5 06/01/28</t>
  </si>
  <si>
    <t>XS2358241243 CORP</t>
  </si>
  <si>
    <t>UNIMIC 0 07/07/26</t>
  </si>
  <si>
    <t>US91688FAB04 CORP</t>
  </si>
  <si>
    <t>UPWK 0 1/4 08/15/26</t>
  </si>
  <si>
    <t>US57164YAD94 CORP</t>
  </si>
  <si>
    <t>VAC 0 01/15/26</t>
  </si>
  <si>
    <t>US57164YAF43 CORP</t>
  </si>
  <si>
    <t>VAC 3 1/4 12/15/27</t>
  </si>
  <si>
    <t>USG91458AE28 CORP</t>
  </si>
  <si>
    <t>VNET 2 1/2 04/01/30</t>
  </si>
  <si>
    <t>US928298AR93 CORP</t>
  </si>
  <si>
    <t>VSH 2 1/4 09/15/30</t>
  </si>
  <si>
    <t>US92277GAZ00 CORP</t>
  </si>
  <si>
    <t>VTR 3 3/4 06/01/26</t>
  </si>
  <si>
    <t>US94419LAP67 CORP</t>
  </si>
  <si>
    <t>W 3 1/4 09/15/27</t>
  </si>
  <si>
    <t>US94419LAR24 CORP</t>
  </si>
  <si>
    <t>W 3 1/2 11/15/28</t>
  </si>
  <si>
    <t>US958102AT29 CORP</t>
  </si>
  <si>
    <t>WDC 3 11/15/28</t>
  </si>
  <si>
    <t>US92939UAP12 CORP</t>
  </si>
  <si>
    <t>WEC 4 3/8 06/01/27</t>
  </si>
  <si>
    <t>US92939UAR77 CORP</t>
  </si>
  <si>
    <t>WEC 4 3/8 06/01/29</t>
  </si>
  <si>
    <t>US974637AF75 CORP</t>
  </si>
  <si>
    <t>WGO 3 1/4 01/15/30</t>
  </si>
  <si>
    <t>US98139AAD72 CORP</t>
  </si>
  <si>
    <t>WK 1 1/4 08/15/28</t>
  </si>
  <si>
    <t>US98149GAB68 CORP</t>
  </si>
  <si>
    <t>WKC 3 1/4 07/01/28</t>
  </si>
  <si>
    <t>FR0013439304 CORP</t>
  </si>
  <si>
    <t>WLNFP 0 07/30/26</t>
  </si>
  <si>
    <t>US98313RAJ59 CORP</t>
  </si>
  <si>
    <t>WYNMAC 4 1/2 03/07/29</t>
  </si>
  <si>
    <t>XS2269112863 CORP</t>
  </si>
  <si>
    <t>XIAOMI 0 12/17/27</t>
  </si>
  <si>
    <t>XS2834365350 CORP</t>
  </si>
  <si>
    <t>XROAU 1 5/8 06/12/31</t>
  </si>
  <si>
    <t>US98421MAE66 CORP</t>
  </si>
  <si>
    <t>XRX 3 3/4 03/15/30</t>
  </si>
  <si>
    <t>XS2908992733 CORP</t>
  </si>
  <si>
    <t>YGCZCH 3 1/2 10/03/29</t>
  </si>
  <si>
    <t>DE000A3E4597 CORP</t>
  </si>
  <si>
    <t>ZALGR 0 5/8 08/06/27</t>
  </si>
  <si>
    <t>XS3140158430 CORP</t>
  </si>
  <si>
    <t>ZTECOR 0 08/05/30</t>
  </si>
  <si>
    <t>USG01719AP11 CORP</t>
  </si>
  <si>
    <t>BABA 0 09/15/32</t>
  </si>
  <si>
    <t>US06744EDH71 CORP</t>
  </si>
  <si>
    <t>BACR 1 02/16/29</t>
  </si>
  <si>
    <t>US11777QAC42 CORP</t>
  </si>
  <si>
    <t>BTOCN 2 3/4 02/01/30</t>
  </si>
  <si>
    <t>DE000A3H2XR6 CORP</t>
  </si>
  <si>
    <t>DUEGR 0 3/4 01/15/26</t>
  </si>
  <si>
    <t>US29446YAC03 CORP</t>
  </si>
  <si>
    <t>EQXCN 4 3/4 10/15/28</t>
  </si>
  <si>
    <t>US349915AE82 CORP</t>
  </si>
  <si>
    <t>FVICN 3 3/4 06/30/29</t>
  </si>
  <si>
    <t>BE6339419812 CORP</t>
  </si>
  <si>
    <t>GBLBBB 2 1/8 11/29/25</t>
  </si>
  <si>
    <t>US15643UAF12 CORP</t>
  </si>
  <si>
    <t>LEU 0 08/15/32</t>
  </si>
  <si>
    <t>DE000A4DFHZ5 CORP</t>
  </si>
  <si>
    <t>LHAGR 0 09/10/32</t>
  </si>
  <si>
    <t>DE000A3H2UK7 CORP</t>
  </si>
  <si>
    <t>LHAGR 2 11/17/25</t>
  </si>
  <si>
    <t>US18915MAE75 CORP</t>
  </si>
  <si>
    <t>NET 0 06/15/30</t>
  </si>
  <si>
    <t>US679295AF24 CORP</t>
  </si>
  <si>
    <t>OKTA 0 3/8 06/15/26</t>
  </si>
  <si>
    <t>FR001400NF10 CORP</t>
  </si>
  <si>
    <t>ORPAR 2 02/07/31</t>
  </si>
  <si>
    <t>US781154AC39 CORP</t>
  </si>
  <si>
    <t>RBRK 0 06/15/30</t>
  </si>
  <si>
    <t>DE000A287RE9 CORP</t>
  </si>
  <si>
    <t>RDCGR 0 01/21/28</t>
  </si>
  <si>
    <t>DE000A351SD3 CORP</t>
  </si>
  <si>
    <t>SGLGR 5 3/4 06/28/28</t>
  </si>
  <si>
    <t>US833445AC37 CORP</t>
  </si>
  <si>
    <t>DE000A3E5KG2 CORP</t>
  </si>
  <si>
    <t>TUIGR 5 04/16/28</t>
  </si>
  <si>
    <t>XS3170882131 CORP</t>
  </si>
  <si>
    <t>ZHEDIN 0 09/25/30</t>
  </si>
  <si>
    <t>20251015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</si>
</sst>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* #,##0.000_);_(* \(#,##0.000\);_(* &quot;-&quot;??_);_(@_)"/>
    <numFmt numFmtId="166" formatCode="mm/dd/yyyy"/>
    <numFmt numFmtId="167" formatCode="_(* #,##0.000_);_(* \-#,##0.000;_(* &quot;-&quot;??_);_(@_)"/>
    <numFmt numFmtId="168" formatCode="_(* #,##0.000%_);_(* \-#,##0.000%;_(* &quot;-&quot;??_);_(@_)"/>
    <numFmt numFmtId="169" formatCode="_(* #,##0.00_);_(* \-#,##0.00;_(* &quot;-&quot;??_);_(@_)"/>
    <numFmt numFmtId="170" formatCode="_(* #,##0.000\ &quot;BLN&quot;_);_(* \-#,##0.000;_(* &quot;-&quot;??_);_(@_)"/>
    <numFmt numFmtId="171" formatCode="#,##0.000"/>
  </numFmts>
  <fonts count="38" x14ac:knownFonts="1">
    <font>
      <sz val="8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8"/>
      <color theme="0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0"/>
      <name val="Calibri"/>
      <family val="2"/>
    </font>
    <font>
      <u/>
      <sz val="8"/>
      <color theme="10"/>
      <name val="Calibri"/>
      <family val="2"/>
    </font>
    <font>
      <i/>
      <sz val="8"/>
      <color theme="0"/>
      <name val="Calibri"/>
      <family val="2"/>
    </font>
    <font>
      <u/>
      <sz val="11"/>
      <color theme="10"/>
      <name val="Calibri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theme="3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sz val="10"/>
      <name val="Consolas"/>
      <family val="3"/>
    </font>
  </fonts>
  <fills count="6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gradientFill>
        <stop position="0">
          <color theme="3"/>
        </stop>
        <stop position="0.5">
          <color theme="4"/>
        </stop>
        <stop position="1">
          <color theme="3"/>
        </stop>
      </gradientFill>
    </fill>
    <fill>
      <gradientFill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9" tint="0.59999389629810485"/>
        </stop>
        <stop position="0.5">
          <color theme="9" tint="0.80001220740379042"/>
        </stop>
        <stop position="1">
          <color theme="9" tint="0.59999389629810485"/>
        </stop>
      </gradientFill>
    </fill>
    <fill>
      <gradientFill>
        <stop position="0">
          <color theme="4" tint="0.59999389629810485"/>
        </stop>
        <stop position="0.5">
          <color theme="4" tint="0.80001220740379042"/>
        </stop>
        <stop position="1">
          <color theme="4" tint="0.59999389629810485"/>
        </stop>
      </gradientFill>
    </fill>
    <fill>
      <gradientFill degree="135">
        <stop position="0">
          <color theme="3"/>
        </stop>
        <stop position="1">
          <color theme="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gradientFill degree="135">
        <stop position="0">
          <color theme="9" tint="-0.25098422193060094"/>
        </stop>
        <stop position="1">
          <color theme="9" tint="0.40000610370189521"/>
        </stop>
      </gradientFill>
    </fill>
    <fill>
      <patternFill patternType="solid">
        <fgColor theme="9" tint="0.59999389629810485"/>
        <bgColor indexed="64"/>
      </patternFill>
    </fill>
    <fill>
      <gradientFill degree="135">
        <stop position="0">
          <color theme="6" tint="-0.25098422193060094"/>
        </stop>
        <stop position="1">
          <color theme="6" tint="0.40000610370189521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gradientFill type="path" left="1" right="1" top="1" bottom="1">
        <stop position="0">
          <color theme="0"/>
        </stop>
        <stop position="1">
          <color theme="4" tint="0.59999389629810485"/>
        </stop>
      </gradientFill>
    </fill>
    <fill>
      <gradientFill degree="180">
        <stop position="0">
          <color theme="0"/>
        </stop>
        <stop position="1">
          <color theme="4" tint="0.59999389629810485"/>
        </stop>
      </gradientFill>
    </fill>
    <fill>
      <gradientFill type="path" left="1" right="1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  <fill>
      <gradientFill type="path" top="1" bottom="1">
        <stop position="0">
          <color theme="0"/>
        </stop>
        <stop position="1">
          <color theme="4" tint="0.59999389629810485"/>
        </stop>
      </gradientFill>
    </fill>
    <fill>
      <gradientFill>
        <stop position="0">
          <color theme="0"/>
        </stop>
        <stop position="1">
          <color theme="4" tint="0.59999389629810485"/>
        </stop>
      </gradientFill>
    </fill>
    <fill>
      <gradientFill type="path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type="path">
        <stop position="0">
          <color theme="4" tint="0.59999389629810485"/>
        </stop>
        <stop position="1">
          <color theme="0"/>
        </stop>
      </gradientFill>
    </fill>
    <fill>
      <gradientFill degree="135">
        <stop position="0">
          <color theme="1"/>
        </stop>
        <stop position="1">
          <color theme="1" tint="0.49803155613879818"/>
        </stop>
      </gradient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indexed="64"/>
      </right>
      <top style="medium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1" tint="0.499984740745262"/>
      </bottom>
      <diagonal/>
    </border>
    <border>
      <left/>
      <right/>
      <top style="thin">
        <color theme="0" tint="-0.34998626667073579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0" tint="-0.34998626667073579"/>
      </top>
      <bottom style="medium">
        <color theme="1" tint="0.499984740745262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 style="thin">
        <color indexed="9"/>
      </top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 style="thin">
        <color indexed="8"/>
      </bottom>
      <diagonal/>
    </border>
    <border>
      <left/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8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8"/>
      </right>
      <top/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8"/>
      </top>
      <bottom style="thin">
        <color theme="0"/>
      </bottom>
      <diagonal/>
    </border>
    <border>
      <left style="thin">
        <color indexed="9"/>
      </left>
      <right style="thin">
        <color indexed="9"/>
      </right>
      <top style="thin">
        <color indexed="8"/>
      </top>
      <bottom style="thin">
        <color theme="0"/>
      </bottom>
      <diagonal/>
    </border>
    <border>
      <left style="thin">
        <color indexed="9"/>
      </left>
      <right/>
      <top style="thin">
        <color indexed="8"/>
      </top>
      <bottom style="thin">
        <color theme="0"/>
      </bottom>
      <diagonal/>
    </border>
    <border>
      <left/>
      <right style="thin">
        <color indexed="9"/>
      </right>
      <top style="thin">
        <color indexed="8"/>
      </top>
      <bottom style="thin">
        <color theme="0"/>
      </bottom>
      <diagonal/>
    </border>
    <border>
      <left style="thin">
        <color indexed="9"/>
      </left>
      <right style="thin">
        <color indexed="8"/>
      </right>
      <top style="thin">
        <color indexed="8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86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6" fillId="26" borderId="0" applyNumberFormat="0" applyBorder="0" applyAlignment="0" applyProtection="0"/>
    <xf numFmtId="0" fontId="7" fillId="27" borderId="1" applyNumberFormat="0" applyAlignment="0" applyProtection="0"/>
    <xf numFmtId="0" fontId="8" fillId="28" borderId="2" applyNumberFormat="0" applyAlignment="0" applyProtection="0"/>
    <xf numFmtId="0" fontId="9" fillId="0" borderId="0" applyNumberFormat="0" applyFill="0" applyBorder="0" applyAlignment="0" applyProtection="0"/>
    <xf numFmtId="0" fontId="10" fillId="2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30" borderId="1" applyNumberFormat="0" applyAlignment="0" applyProtection="0"/>
    <xf numFmtId="0" fontId="15" fillId="0" borderId="6" applyNumberFormat="0" applyFill="0" applyAlignment="0" applyProtection="0"/>
    <xf numFmtId="0" fontId="16" fillId="31" borderId="0" applyNumberFormat="0" applyBorder="0" applyAlignment="0" applyProtection="0"/>
    <xf numFmtId="0" fontId="3" fillId="0" borderId="0"/>
    <xf numFmtId="0" fontId="3" fillId="32" borderId="7" applyNumberFormat="0" applyFont="0" applyAlignment="0" applyProtection="0"/>
    <xf numFmtId="0" fontId="17" fillId="27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0" fillId="29" borderId="0" applyNumberFormat="0" applyBorder="0" applyAlignment="0" applyProtection="0"/>
    <xf numFmtId="0" fontId="6" fillId="26" borderId="0" applyNumberFormat="0" applyBorder="0" applyAlignment="0" applyProtection="0"/>
    <xf numFmtId="0" fontId="16" fillId="31" borderId="0" applyNumberFormat="0" applyBorder="0" applyAlignment="0" applyProtection="0"/>
    <xf numFmtId="0" fontId="14" fillId="30" borderId="1" applyNumberFormat="0" applyAlignment="0" applyProtection="0"/>
    <xf numFmtId="0" fontId="17" fillId="27" borderId="8" applyNumberFormat="0" applyAlignment="0" applyProtection="0"/>
    <xf numFmtId="0" fontId="7" fillId="27" borderId="1" applyNumberFormat="0" applyAlignment="0" applyProtection="0"/>
    <xf numFmtId="0" fontId="15" fillId="0" borderId="6" applyNumberFormat="0" applyFill="0" applyAlignment="0" applyProtection="0"/>
    <xf numFmtId="0" fontId="8" fillId="28" borderId="2" applyNumberFormat="0" applyAlignment="0" applyProtection="0"/>
    <xf numFmtId="0" fontId="2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5" fillId="20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22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23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24" borderId="0" applyNumberFormat="0" applyBorder="0" applyAlignment="0" applyProtection="0"/>
    <xf numFmtId="0" fontId="1" fillId="6" borderId="0" applyNumberFormat="0" applyBorder="0" applyAlignment="0" applyProtection="0"/>
    <xf numFmtId="0" fontId="1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25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5" fillId="19" borderId="0" applyNumberFormat="0" applyBorder="0" applyAlignment="0" applyProtection="0"/>
    <xf numFmtId="0" fontId="29" fillId="0" borderId="0"/>
    <xf numFmtId="0" fontId="30" fillId="0" borderId="0" applyNumberFormat="0" applyFill="0" applyBorder="0" applyAlignment="0" applyProtection="0"/>
    <xf numFmtId="0" fontId="1" fillId="32" borderId="7" applyNumberFormat="0" applyFont="0" applyAlignment="0" applyProtection="0"/>
  </cellStyleXfs>
  <cellXfs count="199">
    <xf numFmtId="0" fontId="0" fillId="0" borderId="0" xfId="0"/>
    <xf numFmtId="0" fontId="4" fillId="0" borderId="0" xfId="0" applyFont="1"/>
    <xf numFmtId="0" fontId="0" fillId="0" borderId="10" xfId="0" applyBorder="1"/>
    <xf numFmtId="0" fontId="0" fillId="0" borderId="10" xfId="0" applyBorder="1" applyAlignment="1">
      <alignment horizontal="center"/>
    </xf>
    <xf numFmtId="171" fontId="4" fillId="0" borderId="0" xfId="0" applyNumberFormat="1" applyFont="1" applyAlignment="1">
      <alignment horizontal="center"/>
    </xf>
    <xf numFmtId="0" fontId="23" fillId="0" borderId="0" xfId="0" applyFont="1"/>
    <xf numFmtId="0" fontId="24" fillId="38" borderId="11" xfId="0" applyFont="1" applyFill="1" applyBorder="1"/>
    <xf numFmtId="0" fontId="24" fillId="38" borderId="12" xfId="0" applyFont="1" applyFill="1" applyBorder="1"/>
    <xf numFmtId="0" fontId="24" fillId="38" borderId="10" xfId="0" applyFont="1" applyFill="1" applyBorder="1"/>
    <xf numFmtId="0" fontId="24" fillId="39" borderId="11" xfId="0" applyFont="1" applyFill="1" applyBorder="1"/>
    <xf numFmtId="0" fontId="24" fillId="39" borderId="13" xfId="0" applyFont="1" applyFill="1" applyBorder="1"/>
    <xf numFmtId="166" fontId="21" fillId="39" borderId="10" xfId="0" applyNumberFormat="1" applyFont="1" applyFill="1" applyBorder="1" applyAlignment="1">
      <alignment horizontal="center"/>
    </xf>
    <xf numFmtId="167" fontId="21" fillId="39" borderId="10" xfId="0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5" fillId="0" borderId="0" xfId="0" applyFont="1"/>
    <xf numFmtId="0" fontId="24" fillId="38" borderId="0" xfId="0" applyFont="1" applyFill="1" applyAlignment="1">
      <alignment horizontal="left"/>
    </xf>
    <xf numFmtId="171" fontId="23" fillId="0" borderId="0" xfId="0" applyNumberFormat="1" applyFont="1" applyAlignment="1">
      <alignment horizontal="center"/>
    </xf>
    <xf numFmtId="166" fontId="23" fillId="0" borderId="0" xfId="0" applyNumberFormat="1" applyFont="1" applyAlignment="1">
      <alignment horizontal="center"/>
    </xf>
    <xf numFmtId="0" fontId="23" fillId="40" borderId="10" xfId="0" applyFont="1" applyFill="1" applyBorder="1"/>
    <xf numFmtId="14" fontId="23" fillId="0" borderId="0" xfId="0" applyNumberFormat="1" applyFont="1"/>
    <xf numFmtId="171" fontId="23" fillId="45" borderId="14" xfId="0" applyNumberFormat="1" applyFont="1" applyFill="1" applyBorder="1"/>
    <xf numFmtId="171" fontId="23" fillId="44" borderId="14" xfId="0" applyNumberFormat="1" applyFont="1" applyFill="1" applyBorder="1"/>
    <xf numFmtId="0" fontId="27" fillId="0" borderId="0" xfId="0" applyFont="1"/>
    <xf numFmtId="0" fontId="22" fillId="33" borderId="15" xfId="0" applyFont="1" applyFill="1" applyBorder="1"/>
    <xf numFmtId="0" fontId="22" fillId="33" borderId="18" xfId="0" applyFont="1" applyFill="1" applyBorder="1"/>
    <xf numFmtId="0" fontId="24" fillId="38" borderId="14" xfId="0" applyFont="1" applyFill="1" applyBorder="1" applyAlignment="1">
      <alignment horizontal="left"/>
    </xf>
    <xf numFmtId="167" fontId="23" fillId="36" borderId="19" xfId="0" applyNumberFormat="1" applyFont="1" applyFill="1" applyBorder="1" applyAlignment="1">
      <alignment horizontal="right"/>
    </xf>
    <xf numFmtId="0" fontId="22" fillId="33" borderId="20" xfId="0" applyFont="1" applyFill="1" applyBorder="1"/>
    <xf numFmtId="0" fontId="24" fillId="38" borderId="21" xfId="0" applyFont="1" applyFill="1" applyBorder="1" applyAlignment="1">
      <alignment horizontal="left"/>
    </xf>
    <xf numFmtId="167" fontId="23" fillId="36" borderId="22" xfId="0" applyNumberFormat="1" applyFont="1" applyFill="1" applyBorder="1" applyAlignment="1">
      <alignment horizontal="right"/>
    </xf>
    <xf numFmtId="0" fontId="24" fillId="38" borderId="14" xfId="0" applyFont="1" applyFill="1" applyBorder="1"/>
    <xf numFmtId="0" fontId="24" fillId="38" borderId="21" xfId="0" applyFont="1" applyFill="1" applyBorder="1"/>
    <xf numFmtId="0" fontId="23" fillId="0" borderId="16" xfId="0" applyFont="1" applyBorder="1"/>
    <xf numFmtId="166" fontId="21" fillId="36" borderId="17" xfId="0" applyNumberFormat="1" applyFont="1" applyFill="1" applyBorder="1" applyAlignment="1">
      <alignment horizontal="center"/>
    </xf>
    <xf numFmtId="0" fontId="23" fillId="0" borderId="21" xfId="0" applyFont="1" applyBorder="1"/>
    <xf numFmtId="166" fontId="21" fillId="35" borderId="22" xfId="0" applyNumberFormat="1" applyFont="1" applyFill="1" applyBorder="1" applyAlignment="1">
      <alignment horizontal="center"/>
    </xf>
    <xf numFmtId="167" fontId="21" fillId="36" borderId="15" xfId="0" applyNumberFormat="1" applyFont="1" applyFill="1" applyBorder="1" applyAlignment="1">
      <alignment horizontal="center"/>
    </xf>
    <xf numFmtId="167" fontId="21" fillId="0" borderId="16" xfId="0" applyNumberFormat="1" applyFont="1" applyBorder="1" applyAlignment="1">
      <alignment horizontal="center"/>
    </xf>
    <xf numFmtId="167" fontId="21" fillId="36" borderId="17" xfId="0" applyNumberFormat="1" applyFont="1" applyFill="1" applyBorder="1" applyAlignment="1">
      <alignment horizontal="center"/>
    </xf>
    <xf numFmtId="167" fontId="21" fillId="35" borderId="20" xfId="0" applyNumberFormat="1" applyFont="1" applyFill="1" applyBorder="1" applyAlignment="1">
      <alignment horizontal="center"/>
    </xf>
    <xf numFmtId="167" fontId="21" fillId="0" borderId="21" xfId="0" applyNumberFormat="1" applyFont="1" applyBorder="1" applyAlignment="1">
      <alignment horizontal="center"/>
    </xf>
    <xf numFmtId="167" fontId="21" fillId="35" borderId="22" xfId="0" applyNumberFormat="1" applyFont="1" applyFill="1" applyBorder="1" applyAlignment="1">
      <alignment horizontal="center"/>
    </xf>
    <xf numFmtId="170" fontId="23" fillId="36" borderId="19" xfId="0" applyNumberFormat="1" applyFont="1" applyFill="1" applyBorder="1" applyAlignment="1">
      <alignment horizontal="right"/>
    </xf>
    <xf numFmtId="0" fontId="22" fillId="33" borderId="23" xfId="0" applyFont="1" applyFill="1" applyBorder="1"/>
    <xf numFmtId="0" fontId="22" fillId="0" borderId="24" xfId="0" applyFont="1" applyBorder="1"/>
    <xf numFmtId="0" fontId="22" fillId="33" borderId="14" xfId="0" applyFont="1" applyFill="1" applyBorder="1" applyAlignment="1">
      <alignment horizontal="center"/>
    </xf>
    <xf numFmtId="0" fontId="22" fillId="33" borderId="19" xfId="0" applyFont="1" applyFill="1" applyBorder="1" applyAlignment="1">
      <alignment horizontal="center"/>
    </xf>
    <xf numFmtId="171" fontId="22" fillId="33" borderId="14" xfId="0" applyNumberFormat="1" applyFont="1" applyFill="1" applyBorder="1"/>
    <xf numFmtId="171" fontId="22" fillId="33" borderId="19" xfId="0" applyNumberFormat="1" applyFont="1" applyFill="1" applyBorder="1"/>
    <xf numFmtId="0" fontId="23" fillId="44" borderId="18" xfId="0" applyFont="1" applyFill="1" applyBorder="1"/>
    <xf numFmtId="171" fontId="23" fillId="44" borderId="19" xfId="0" applyNumberFormat="1" applyFont="1" applyFill="1" applyBorder="1"/>
    <xf numFmtId="0" fontId="23" fillId="45" borderId="18" xfId="0" applyFont="1" applyFill="1" applyBorder="1"/>
    <xf numFmtId="171" fontId="23" fillId="45" borderId="19" xfId="0" applyNumberFormat="1" applyFont="1" applyFill="1" applyBorder="1"/>
    <xf numFmtId="0" fontId="23" fillId="45" borderId="20" xfId="0" applyFont="1" applyFill="1" applyBorder="1"/>
    <xf numFmtId="171" fontId="23" fillId="45" borderId="21" xfId="0" applyNumberFormat="1" applyFont="1" applyFill="1" applyBorder="1"/>
    <xf numFmtId="171" fontId="23" fillId="45" borderId="22" xfId="0" applyNumberFormat="1" applyFont="1" applyFill="1" applyBorder="1"/>
    <xf numFmtId="0" fontId="28" fillId="0" borderId="0" xfId="43" applyFont="1" applyAlignment="1">
      <alignment horizontal="left"/>
    </xf>
    <xf numFmtId="0" fontId="21" fillId="0" borderId="26" xfId="0" applyFont="1" applyBorder="1" applyAlignment="1">
      <alignment horizontal="left"/>
    </xf>
    <xf numFmtId="0" fontId="23" fillId="0" borderId="27" xfId="0" applyFont="1" applyBorder="1" applyAlignment="1">
      <alignment horizontal="left"/>
    </xf>
    <xf numFmtId="166" fontId="23" fillId="0" borderId="27" xfId="0" applyNumberFormat="1" applyFont="1" applyBorder="1" applyAlignment="1">
      <alignment horizontal="center"/>
    </xf>
    <xf numFmtId="164" fontId="23" fillId="0" borderId="27" xfId="0" applyNumberFormat="1" applyFont="1" applyBorder="1" applyAlignment="1">
      <alignment horizontal="right"/>
    </xf>
    <xf numFmtId="165" fontId="23" fillId="0" borderId="27" xfId="0" applyNumberFormat="1" applyFont="1" applyBorder="1" applyAlignment="1">
      <alignment horizontal="right"/>
    </xf>
    <xf numFmtId="0" fontId="23" fillId="0" borderId="27" xfId="0" applyFont="1" applyBorder="1"/>
    <xf numFmtId="168" fontId="23" fillId="0" borderId="27" xfId="0" applyNumberFormat="1" applyFont="1" applyBorder="1" applyAlignment="1">
      <alignment horizontal="right"/>
    </xf>
    <xf numFmtId="167" fontId="23" fillId="0" borderId="27" xfId="0" applyNumberFormat="1" applyFont="1" applyBorder="1" applyAlignment="1">
      <alignment horizontal="right"/>
    </xf>
    <xf numFmtId="169" fontId="23" fillId="0" borderId="27" xfId="0" applyNumberFormat="1" applyFont="1" applyBorder="1" applyAlignment="1">
      <alignment horizontal="right"/>
    </xf>
    <xf numFmtId="167" fontId="23" fillId="0" borderId="28" xfId="0" applyNumberFormat="1" applyFont="1" applyBorder="1" applyAlignment="1">
      <alignment horizontal="right"/>
    </xf>
    <xf numFmtId="0" fontId="22" fillId="37" borderId="29" xfId="0" applyFont="1" applyFill="1" applyBorder="1" applyAlignment="1">
      <alignment horizontal="center" textRotation="45"/>
    </xf>
    <xf numFmtId="0" fontId="22" fillId="37" borderId="30" xfId="0" applyFont="1" applyFill="1" applyBorder="1" applyAlignment="1">
      <alignment horizontal="center" textRotation="45"/>
    </xf>
    <xf numFmtId="0" fontId="22" fillId="41" borderId="30" xfId="0" applyFont="1" applyFill="1" applyBorder="1" applyAlignment="1">
      <alignment horizontal="center" textRotation="45"/>
    </xf>
    <xf numFmtId="0" fontId="22" fillId="42" borderId="30" xfId="0" applyFont="1" applyFill="1" applyBorder="1" applyAlignment="1">
      <alignment horizontal="center" textRotation="45"/>
    </xf>
    <xf numFmtId="0" fontId="22" fillId="43" borderId="30" xfId="0" applyFont="1" applyFill="1" applyBorder="1" applyAlignment="1">
      <alignment horizontal="center" textRotation="45"/>
    </xf>
    <xf numFmtId="0" fontId="22" fillId="55" borderId="30" xfId="0" applyFont="1" applyFill="1" applyBorder="1" applyAlignment="1">
      <alignment horizontal="center" textRotation="45"/>
    </xf>
    <xf numFmtId="0" fontId="22" fillId="55" borderId="31" xfId="0" applyFont="1" applyFill="1" applyBorder="1" applyAlignment="1">
      <alignment horizontal="center" textRotation="45"/>
    </xf>
    <xf numFmtId="0" fontId="19" fillId="44" borderId="32" xfId="0" applyFont="1" applyFill="1" applyBorder="1" applyAlignment="1">
      <alignment horizontal="left" indent="1"/>
    </xf>
    <xf numFmtId="0" fontId="0" fillId="44" borderId="33" xfId="0" applyFill="1" applyBorder="1"/>
    <xf numFmtId="0" fontId="0" fillId="44" borderId="34" xfId="0" applyFill="1" applyBorder="1"/>
    <xf numFmtId="0" fontId="32" fillId="58" borderId="36" xfId="0" applyFont="1" applyFill="1" applyBorder="1" applyAlignment="1">
      <alignment horizontal="center" vertical="top"/>
    </xf>
    <xf numFmtId="0" fontId="32" fillId="57" borderId="36" xfId="0" applyFont="1" applyFill="1" applyBorder="1" applyAlignment="1">
      <alignment horizontal="center" vertical="top"/>
    </xf>
    <xf numFmtId="0" fontId="32" fillId="57" borderId="41" xfId="0" applyFont="1" applyFill="1" applyBorder="1" applyAlignment="1">
      <alignment horizontal="center" vertical="top"/>
    </xf>
    <xf numFmtId="0" fontId="32" fillId="58" borderId="38" xfId="0" applyFont="1" applyFill="1" applyBorder="1" applyAlignment="1">
      <alignment horizontal="center" vertical="top"/>
    </xf>
    <xf numFmtId="171" fontId="32" fillId="58" borderId="36" xfId="0" applyNumberFormat="1" applyFont="1" applyFill="1" applyBorder="1" applyAlignment="1">
      <alignment horizontal="center" vertical="top"/>
    </xf>
    <xf numFmtId="166" fontId="32" fillId="58" borderId="39" xfId="0" applyNumberFormat="1" applyFont="1" applyFill="1" applyBorder="1" applyAlignment="1">
      <alignment horizontal="center" vertical="top"/>
    </xf>
    <xf numFmtId="0" fontId="32" fillId="57" borderId="38" xfId="0" applyFont="1" applyFill="1" applyBorder="1" applyAlignment="1">
      <alignment horizontal="center" vertical="top"/>
    </xf>
    <xf numFmtId="171" fontId="32" fillId="57" borderId="36" xfId="0" applyNumberFormat="1" applyFont="1" applyFill="1" applyBorder="1" applyAlignment="1">
      <alignment horizontal="center" vertical="top"/>
    </xf>
    <xf numFmtId="166" fontId="32" fillId="57" borderId="39" xfId="0" applyNumberFormat="1" applyFont="1" applyFill="1" applyBorder="1" applyAlignment="1">
      <alignment horizontal="center" vertical="top"/>
    </xf>
    <xf numFmtId="0" fontId="32" fillId="57" borderId="40" xfId="0" applyFont="1" applyFill="1" applyBorder="1" applyAlignment="1">
      <alignment horizontal="center" vertical="top"/>
    </xf>
    <xf numFmtId="171" fontId="32" fillId="57" borderId="41" xfId="0" applyNumberFormat="1" applyFont="1" applyFill="1" applyBorder="1" applyAlignment="1">
      <alignment horizontal="center" vertical="top"/>
    </xf>
    <xf numFmtId="166" fontId="32" fillId="57" borderId="42" xfId="0" applyNumberFormat="1" applyFont="1" applyFill="1" applyBorder="1" applyAlignment="1">
      <alignment horizontal="center" vertical="top"/>
    </xf>
    <xf numFmtId="166" fontId="32" fillId="57" borderId="38" xfId="0" applyNumberFormat="1" applyFont="1" applyFill="1" applyBorder="1" applyAlignment="1">
      <alignment horizontal="center" vertical="top"/>
    </xf>
    <xf numFmtId="171" fontId="32" fillId="57" borderId="39" xfId="0" applyNumberFormat="1" applyFont="1" applyFill="1" applyBorder="1" applyAlignment="1">
      <alignment horizontal="center" vertical="top"/>
    </xf>
    <xf numFmtId="166" fontId="32" fillId="58" borderId="38" xfId="0" applyNumberFormat="1" applyFont="1" applyFill="1" applyBorder="1" applyAlignment="1">
      <alignment horizontal="center" vertical="top"/>
    </xf>
    <xf numFmtId="171" fontId="32" fillId="58" borderId="39" xfId="0" applyNumberFormat="1" applyFont="1" applyFill="1" applyBorder="1" applyAlignment="1">
      <alignment horizontal="center" vertical="top"/>
    </xf>
    <xf numFmtId="166" fontId="32" fillId="57" borderId="40" xfId="0" applyNumberFormat="1" applyFont="1" applyFill="1" applyBorder="1" applyAlignment="1">
      <alignment horizontal="center" vertical="top"/>
    </xf>
    <xf numFmtId="171" fontId="32" fillId="57" borderId="42" xfId="0" applyNumberFormat="1" applyFont="1" applyFill="1" applyBorder="1" applyAlignment="1">
      <alignment horizontal="center" vertical="top"/>
    </xf>
    <xf numFmtId="14" fontId="32" fillId="58" borderId="39" xfId="0" applyNumberFormat="1" applyFont="1" applyFill="1" applyBorder="1" applyAlignment="1">
      <alignment horizontal="center" vertical="top"/>
    </xf>
    <xf numFmtId="14" fontId="32" fillId="57" borderId="39" xfId="0" applyNumberFormat="1" applyFont="1" applyFill="1" applyBorder="1" applyAlignment="1">
      <alignment horizontal="center" vertical="top"/>
    </xf>
    <xf numFmtId="14" fontId="32" fillId="57" borderId="42" xfId="0" applyNumberFormat="1" applyFont="1" applyFill="1" applyBorder="1" applyAlignment="1">
      <alignment horizontal="center" vertical="top"/>
    </xf>
    <xf numFmtId="0" fontId="22" fillId="33" borderId="45" xfId="0" applyFont="1" applyFill="1" applyBorder="1"/>
    <xf numFmtId="0" fontId="23" fillId="35" borderId="46" xfId="0" applyFont="1" applyFill="1" applyBorder="1" applyAlignment="1">
      <alignment horizontal="center"/>
    </xf>
    <xf numFmtId="0" fontId="21" fillId="36" borderId="46" xfId="0" applyFont="1" applyFill="1" applyBorder="1" applyAlignment="1">
      <alignment horizontal="center"/>
    </xf>
    <xf numFmtId="0" fontId="23" fillId="35" borderId="47" xfId="0" applyFont="1" applyFill="1" applyBorder="1" applyAlignment="1">
      <alignment horizontal="center"/>
    </xf>
    <xf numFmtId="0" fontId="23" fillId="0" borderId="52" xfId="0" applyFont="1" applyBorder="1"/>
    <xf numFmtId="0" fontId="23" fillId="0" borderId="51" xfId="0" applyFont="1" applyBorder="1"/>
    <xf numFmtId="0" fontId="32" fillId="57" borderId="62" xfId="0" applyFont="1" applyFill="1" applyBorder="1" applyAlignment="1">
      <alignment horizontal="center" vertical="top"/>
    </xf>
    <xf numFmtId="0" fontId="32" fillId="57" borderId="63" xfId="0" applyFont="1" applyFill="1" applyBorder="1" applyAlignment="1">
      <alignment horizontal="center" vertical="top"/>
    </xf>
    <xf numFmtId="171" fontId="32" fillId="57" borderId="63" xfId="0" applyNumberFormat="1" applyFont="1" applyFill="1" applyBorder="1" applyAlignment="1">
      <alignment horizontal="center" vertical="top"/>
    </xf>
    <xf numFmtId="166" fontId="32" fillId="57" borderId="66" xfId="0" applyNumberFormat="1" applyFont="1" applyFill="1" applyBorder="1" applyAlignment="1">
      <alignment horizontal="center" vertical="top"/>
    </xf>
    <xf numFmtId="0" fontId="31" fillId="56" borderId="67" xfId="0" applyFont="1" applyFill="1" applyBorder="1" applyAlignment="1">
      <alignment horizontal="center" vertical="center"/>
    </xf>
    <xf numFmtId="0" fontId="31" fillId="56" borderId="68" xfId="0" applyFont="1" applyFill="1" applyBorder="1" applyAlignment="1">
      <alignment horizontal="center" vertical="center"/>
    </xf>
    <xf numFmtId="0" fontId="31" fillId="56" borderId="71" xfId="0" applyFont="1" applyFill="1" applyBorder="1" applyAlignment="1">
      <alignment horizontal="center" vertical="center"/>
    </xf>
    <xf numFmtId="166" fontId="32" fillId="58" borderId="62" xfId="0" applyNumberFormat="1" applyFont="1" applyFill="1" applyBorder="1" applyAlignment="1">
      <alignment horizontal="center" vertical="top"/>
    </xf>
    <xf numFmtId="0" fontId="32" fillId="58" borderId="63" xfId="0" applyFont="1" applyFill="1" applyBorder="1" applyAlignment="1">
      <alignment horizontal="center" vertical="top"/>
    </xf>
    <xf numFmtId="171" fontId="32" fillId="58" borderId="66" xfId="0" applyNumberFormat="1" applyFont="1" applyFill="1" applyBorder="1" applyAlignment="1">
      <alignment horizontal="center" vertical="top"/>
    </xf>
    <xf numFmtId="14" fontId="32" fillId="57" borderId="66" xfId="0" applyNumberFormat="1" applyFont="1" applyFill="1" applyBorder="1" applyAlignment="1">
      <alignment horizontal="center" vertical="top"/>
    </xf>
    <xf numFmtId="0" fontId="22" fillId="33" borderId="73" xfId="0" applyFont="1" applyFill="1" applyBorder="1"/>
    <xf numFmtId="0" fontId="24" fillId="38" borderId="30" xfId="0" applyFont="1" applyFill="1" applyBorder="1" applyAlignment="1">
      <alignment horizontal="left"/>
    </xf>
    <xf numFmtId="167" fontId="23" fillId="36" borderId="74" xfId="0" applyNumberFormat="1" applyFont="1" applyFill="1" applyBorder="1" applyAlignment="1">
      <alignment horizontal="right"/>
    </xf>
    <xf numFmtId="0" fontId="23" fillId="0" borderId="72" xfId="0" applyFont="1" applyBorder="1"/>
    <xf numFmtId="0" fontId="24" fillId="38" borderId="30" xfId="0" applyFont="1" applyFill="1" applyBorder="1"/>
    <xf numFmtId="167" fontId="21" fillId="36" borderId="29" xfId="0" applyNumberFormat="1" applyFont="1" applyFill="1" applyBorder="1" applyAlignment="1">
      <alignment horizontal="center"/>
    </xf>
    <xf numFmtId="0" fontId="23" fillId="0" borderId="30" xfId="0" applyFont="1" applyBorder="1"/>
    <xf numFmtId="167" fontId="21" fillId="35" borderId="75" xfId="0" applyNumberFormat="1" applyFont="1" applyFill="1" applyBorder="1" applyAlignment="1">
      <alignment horizontal="center"/>
    </xf>
    <xf numFmtId="0" fontId="23" fillId="0" borderId="76" xfId="0" applyFont="1" applyBorder="1"/>
    <xf numFmtId="167" fontId="21" fillId="35" borderId="77" xfId="0" applyNumberFormat="1" applyFont="1" applyFill="1" applyBorder="1" applyAlignment="1">
      <alignment horizontal="center"/>
    </xf>
    <xf numFmtId="167" fontId="21" fillId="36" borderId="78" xfId="0" applyNumberFormat="1" applyFont="1" applyFill="1" applyBorder="1" applyAlignment="1">
      <alignment horizontal="center"/>
    </xf>
    <xf numFmtId="167" fontId="21" fillId="35" borderId="79" xfId="0" applyNumberFormat="1" applyFont="1" applyFill="1" applyBorder="1" applyAlignment="1">
      <alignment horizontal="center"/>
    </xf>
    <xf numFmtId="0" fontId="23" fillId="0" borderId="80" xfId="0" applyFont="1" applyBorder="1"/>
    <xf numFmtId="167" fontId="21" fillId="36" borderId="31" xfId="0" applyNumberFormat="1" applyFont="1" applyFill="1" applyBorder="1" applyAlignment="1">
      <alignment horizontal="center"/>
    </xf>
    <xf numFmtId="0" fontId="23" fillId="0" borderId="81" xfId="0" applyFont="1" applyBorder="1"/>
    <xf numFmtId="0" fontId="23" fillId="0" borderId="27" xfId="0" applyFont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40" borderId="0" xfId="0" applyFont="1" applyFill="1"/>
    <xf numFmtId="0" fontId="0" fillId="59" borderId="0" xfId="0" applyFill="1"/>
    <xf numFmtId="0" fontId="0" fillId="40" borderId="0" xfId="0" applyFill="1"/>
    <xf numFmtId="0" fontId="37" fillId="0" borderId="0" xfId="0" applyFont="1" applyAlignment="1">
      <alignment horizontal="left" vertical="center"/>
    </xf>
    <xf numFmtId="0" fontId="0" fillId="60" borderId="0" xfId="0" applyFill="1"/>
    <xf numFmtId="171" fontId="32" fillId="57" borderId="37" xfId="0" applyNumberFormat="1" applyFont="1" applyFill="1" applyBorder="1" applyAlignment="1">
      <alignment horizontal="center" vertical="top"/>
    </xf>
    <xf numFmtId="171" fontId="32" fillId="57" borderId="35" xfId="0" applyNumberFormat="1" applyFont="1" applyFill="1" applyBorder="1" applyAlignment="1">
      <alignment horizontal="center" vertical="top"/>
    </xf>
    <xf numFmtId="171" fontId="32" fillId="58" borderId="37" xfId="0" applyNumberFormat="1" applyFont="1" applyFill="1" applyBorder="1" applyAlignment="1">
      <alignment horizontal="center" vertical="top"/>
    </xf>
    <xf numFmtId="171" fontId="32" fillId="58" borderId="35" xfId="0" applyNumberFormat="1" applyFont="1" applyFill="1" applyBorder="1" applyAlignment="1">
      <alignment horizontal="center" vertical="top"/>
    </xf>
    <xf numFmtId="171" fontId="32" fillId="57" borderId="43" xfId="0" applyNumberFormat="1" applyFont="1" applyFill="1" applyBorder="1" applyAlignment="1">
      <alignment horizontal="center" vertical="top"/>
    </xf>
    <xf numFmtId="171" fontId="32" fillId="57" borderId="44" xfId="0" applyNumberFormat="1" applyFont="1" applyFill="1" applyBorder="1" applyAlignment="1">
      <alignment horizontal="center" vertical="top"/>
    </xf>
    <xf numFmtId="0" fontId="31" fillId="56" borderId="69" xfId="0" applyFont="1" applyFill="1" applyBorder="1" applyAlignment="1">
      <alignment horizontal="center" vertical="center"/>
    </xf>
    <xf numFmtId="0" fontId="31" fillId="56" borderId="70" xfId="0" applyFont="1" applyFill="1" applyBorder="1" applyAlignment="1">
      <alignment horizontal="center" vertical="center"/>
    </xf>
    <xf numFmtId="4" fontId="32" fillId="58" borderId="37" xfId="0" applyNumberFormat="1" applyFont="1" applyFill="1" applyBorder="1" applyAlignment="1">
      <alignment horizontal="center" vertical="top"/>
    </xf>
    <xf numFmtId="4" fontId="32" fillId="58" borderId="35" xfId="0" applyNumberFormat="1" applyFont="1" applyFill="1" applyBorder="1" applyAlignment="1">
      <alignment horizontal="center" vertical="top"/>
    </xf>
    <xf numFmtId="4" fontId="32" fillId="57" borderId="37" xfId="0" applyNumberFormat="1" applyFont="1" applyFill="1" applyBorder="1" applyAlignment="1">
      <alignment horizontal="center" vertical="top"/>
    </xf>
    <xf numFmtId="4" fontId="32" fillId="57" borderId="35" xfId="0" applyNumberFormat="1" applyFont="1" applyFill="1" applyBorder="1" applyAlignment="1">
      <alignment horizontal="center" vertical="top"/>
    </xf>
    <xf numFmtId="4" fontId="32" fillId="57" borderId="43" xfId="0" applyNumberFormat="1" applyFont="1" applyFill="1" applyBorder="1" applyAlignment="1">
      <alignment horizontal="center" vertical="top"/>
    </xf>
    <xf numFmtId="4" fontId="32" fillId="57" borderId="44" xfId="0" applyNumberFormat="1" applyFont="1" applyFill="1" applyBorder="1" applyAlignment="1">
      <alignment horizontal="center" vertical="top"/>
    </xf>
    <xf numFmtId="171" fontId="32" fillId="57" borderId="64" xfId="0" applyNumberFormat="1" applyFont="1" applyFill="1" applyBorder="1" applyAlignment="1">
      <alignment horizontal="center" vertical="top"/>
    </xf>
    <xf numFmtId="171" fontId="32" fillId="57" borderId="65" xfId="0" applyNumberFormat="1" applyFont="1" applyFill="1" applyBorder="1" applyAlignment="1">
      <alignment horizontal="center" vertical="top"/>
    </xf>
    <xf numFmtId="0" fontId="31" fillId="56" borderId="53" xfId="0" applyFont="1" applyFill="1" applyBorder="1" applyAlignment="1">
      <alignment horizontal="left" vertical="center"/>
    </xf>
    <xf numFmtId="0" fontId="31" fillId="56" borderId="54" xfId="0" applyFont="1" applyFill="1" applyBorder="1" applyAlignment="1">
      <alignment horizontal="left" vertical="center"/>
    </xf>
    <xf numFmtId="0" fontId="31" fillId="56" borderId="55" xfId="0" applyFont="1" applyFill="1" applyBorder="1" applyAlignment="1">
      <alignment horizontal="left" vertical="center"/>
    </xf>
    <xf numFmtId="0" fontId="32" fillId="58" borderId="37" xfId="0" applyFont="1" applyFill="1" applyBorder="1" applyAlignment="1">
      <alignment horizontal="center" vertical="top"/>
    </xf>
    <xf numFmtId="0" fontId="32" fillId="58" borderId="35" xfId="0" applyFont="1" applyFill="1" applyBorder="1" applyAlignment="1">
      <alignment horizontal="center" vertical="top"/>
    </xf>
    <xf numFmtId="0" fontId="32" fillId="57" borderId="43" xfId="0" applyFont="1" applyFill="1" applyBorder="1" applyAlignment="1">
      <alignment horizontal="center" vertical="top"/>
    </xf>
    <xf numFmtId="0" fontId="32" fillId="57" borderId="44" xfId="0" applyFont="1" applyFill="1" applyBorder="1" applyAlignment="1">
      <alignment horizontal="center" vertical="top"/>
    </xf>
    <xf numFmtId="0" fontId="23" fillId="0" borderId="0" xfId="0" applyFont="1" applyAlignment="1">
      <alignment horizontal="left"/>
    </xf>
    <xf numFmtId="4" fontId="32" fillId="57" borderId="64" xfId="0" applyNumberFormat="1" applyFont="1" applyFill="1" applyBorder="1" applyAlignment="1">
      <alignment horizontal="center" vertical="top"/>
    </xf>
    <xf numFmtId="4" fontId="32" fillId="57" borderId="65" xfId="0" applyNumberFormat="1" applyFont="1" applyFill="1" applyBorder="1" applyAlignment="1">
      <alignment horizontal="center" vertical="top"/>
    </xf>
    <xf numFmtId="0" fontId="32" fillId="57" borderId="37" xfId="0" applyFont="1" applyFill="1" applyBorder="1" applyAlignment="1">
      <alignment horizontal="center" vertical="top"/>
    </xf>
    <xf numFmtId="0" fontId="32" fillId="57" borderId="35" xfId="0" applyFont="1" applyFill="1" applyBorder="1" applyAlignment="1">
      <alignment horizontal="center" vertical="top"/>
    </xf>
    <xf numFmtId="0" fontId="22" fillId="33" borderId="48" xfId="0" applyFont="1" applyFill="1" applyBorder="1" applyAlignment="1">
      <alignment horizontal="left"/>
    </xf>
    <xf numFmtId="0" fontId="22" fillId="33" borderId="49" xfId="0" applyFont="1" applyFill="1" applyBorder="1" applyAlignment="1">
      <alignment horizontal="left"/>
    </xf>
    <xf numFmtId="0" fontId="22" fillId="33" borderId="50" xfId="0" applyFont="1" applyFill="1" applyBorder="1" applyAlignment="1">
      <alignment horizontal="left"/>
    </xf>
    <xf numFmtId="0" fontId="22" fillId="33" borderId="59" xfId="0" applyFont="1" applyFill="1" applyBorder="1" applyAlignment="1">
      <alignment horizontal="left"/>
    </xf>
    <xf numFmtId="0" fontId="22" fillId="33" borderId="60" xfId="0" applyFont="1" applyFill="1" applyBorder="1" applyAlignment="1">
      <alignment horizontal="left"/>
    </xf>
    <xf numFmtId="0" fontId="22" fillId="33" borderId="61" xfId="0" applyFont="1" applyFill="1" applyBorder="1" applyAlignment="1">
      <alignment horizontal="left"/>
    </xf>
    <xf numFmtId="0" fontId="22" fillId="33" borderId="56" xfId="0" applyFont="1" applyFill="1" applyBorder="1" applyAlignment="1">
      <alignment horizontal="left"/>
    </xf>
    <xf numFmtId="0" fontId="22" fillId="33" borderId="57" xfId="0" applyFont="1" applyFill="1" applyBorder="1" applyAlignment="1">
      <alignment horizontal="left"/>
    </xf>
    <xf numFmtId="0" fontId="22" fillId="33" borderId="58" xfId="0" applyFont="1" applyFill="1" applyBorder="1" applyAlignment="1">
      <alignment horizontal="left"/>
    </xf>
    <xf numFmtId="0" fontId="2" fillId="35" borderId="24" xfId="0" applyFont="1" applyFill="1" applyBorder="1" applyAlignment="1">
      <alignment horizontal="center" vertical="center"/>
    </xf>
    <xf numFmtId="0" fontId="2" fillId="35" borderId="25" xfId="0" applyFont="1" applyFill="1" applyBorder="1" applyAlignment="1">
      <alignment horizontal="center" vertical="center"/>
    </xf>
    <xf numFmtId="0" fontId="32" fillId="57" borderId="64" xfId="0" applyFont="1" applyFill="1" applyBorder="1" applyAlignment="1">
      <alignment horizontal="center" vertical="top"/>
    </xf>
    <xf numFmtId="0" fontId="32" fillId="57" borderId="65" xfId="0" applyFont="1" applyFill="1" applyBorder="1" applyAlignment="1">
      <alignment horizontal="center" vertical="top"/>
    </xf>
    <xf numFmtId="0" fontId="2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166" fontId="2" fillId="35" borderId="46" xfId="0" applyNumberFormat="1" applyFont="1" applyFill="1" applyBorder="1" applyAlignment="1">
      <alignment horizontal="center"/>
    </xf>
    <xf numFmtId="166" fontId="2" fillId="35" borderId="47" xfId="0" applyNumberFormat="1" applyFont="1" applyFill="1" applyBorder="1" applyAlignment="1">
      <alignment horizontal="center"/>
    </xf>
    <xf numFmtId="0" fontId="22" fillId="33" borderId="15" xfId="0" applyFont="1" applyFill="1" applyBorder="1" applyAlignment="1">
      <alignment horizontal="center"/>
    </xf>
    <xf numFmtId="0" fontId="22" fillId="33" borderId="16" xfId="0" applyFont="1" applyFill="1" applyBorder="1" applyAlignment="1">
      <alignment horizontal="center"/>
    </xf>
    <xf numFmtId="0" fontId="22" fillId="33" borderId="17" xfId="0" applyFont="1" applyFill="1" applyBorder="1" applyAlignment="1">
      <alignment horizontal="center"/>
    </xf>
    <xf numFmtId="0" fontId="21" fillId="34" borderId="46" xfId="0" applyFont="1" applyFill="1" applyBorder="1" applyAlignment="1">
      <alignment horizontal="center"/>
    </xf>
    <xf numFmtId="0" fontId="21" fillId="34" borderId="47" xfId="0" applyFont="1" applyFill="1" applyBorder="1" applyAlignment="1">
      <alignment horizontal="center"/>
    </xf>
    <xf numFmtId="0" fontId="0" fillId="49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33" fillId="0" borderId="0" xfId="0" applyFont="1" applyAlignment="1">
      <alignment horizontal="left" vertical="top" wrapText="1"/>
    </xf>
    <xf numFmtId="0" fontId="0" fillId="46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28" fillId="0" borderId="0" xfId="43" applyFont="1" applyAlignment="1">
      <alignment horizontal="left"/>
    </xf>
  </cellXfs>
  <cellStyles count="86">
    <cellStyle name="20% - Accent1" xfId="60" builtinId="30" customBuiltin="1"/>
    <cellStyle name="20% - Accent1 2" xfId="1" xr:uid="{00000000-0005-0000-0000-000001000000}"/>
    <cellStyle name="20% - Accent2" xfId="64" builtinId="34" customBuiltin="1"/>
    <cellStyle name="20% - Accent2 2" xfId="2" xr:uid="{00000000-0005-0000-0000-000003000000}"/>
    <cellStyle name="20% - Accent3" xfId="68" builtinId="38" customBuiltin="1"/>
    <cellStyle name="20% - Accent3 2" xfId="3" xr:uid="{00000000-0005-0000-0000-000005000000}"/>
    <cellStyle name="20% - Accent4" xfId="72" builtinId="42" customBuiltin="1"/>
    <cellStyle name="20% - Accent4 2" xfId="4" xr:uid="{00000000-0005-0000-0000-000007000000}"/>
    <cellStyle name="20% - Accent5" xfId="76" builtinId="46" customBuiltin="1"/>
    <cellStyle name="20% - Accent5 2" xfId="5" xr:uid="{00000000-0005-0000-0000-000009000000}"/>
    <cellStyle name="20% - Accent6" xfId="80" builtinId="50" customBuiltin="1"/>
    <cellStyle name="20% - Accent6 2" xfId="6" xr:uid="{00000000-0005-0000-0000-00000B000000}"/>
    <cellStyle name="40% - Accent1" xfId="61" builtinId="31" customBuiltin="1"/>
    <cellStyle name="40% - Accent1 2" xfId="7" xr:uid="{00000000-0005-0000-0000-00000D000000}"/>
    <cellStyle name="40% - Accent2" xfId="65" builtinId="35" customBuiltin="1"/>
    <cellStyle name="40% - Accent2 2" xfId="8" xr:uid="{00000000-0005-0000-0000-00000F000000}"/>
    <cellStyle name="40% - Accent3" xfId="69" builtinId="39" customBuiltin="1"/>
    <cellStyle name="40% - Accent3 2" xfId="9" xr:uid="{00000000-0005-0000-0000-000011000000}"/>
    <cellStyle name="40% - Accent4" xfId="73" builtinId="43" customBuiltin="1"/>
    <cellStyle name="40% - Accent4 2" xfId="10" xr:uid="{00000000-0005-0000-0000-000013000000}"/>
    <cellStyle name="40% - Accent5" xfId="77" builtinId="47" customBuiltin="1"/>
    <cellStyle name="40% - Accent5 2" xfId="11" xr:uid="{00000000-0005-0000-0000-000015000000}"/>
    <cellStyle name="40% - Accent6" xfId="81" builtinId="51" customBuiltin="1"/>
    <cellStyle name="40% - Accent6 2" xfId="12" xr:uid="{00000000-0005-0000-0000-000017000000}"/>
    <cellStyle name="60% - Accent1" xfId="62" builtinId="32" customBuiltin="1"/>
    <cellStyle name="60% - Accent1 2" xfId="13" xr:uid="{00000000-0005-0000-0000-000019000000}"/>
    <cellStyle name="60% - Accent2" xfId="66" builtinId="36" customBuiltin="1"/>
    <cellStyle name="60% - Accent2 2" xfId="14" xr:uid="{00000000-0005-0000-0000-00001B000000}"/>
    <cellStyle name="60% - Accent3" xfId="70" builtinId="40" customBuiltin="1"/>
    <cellStyle name="60% - Accent3 2" xfId="15" xr:uid="{00000000-0005-0000-0000-00001D000000}"/>
    <cellStyle name="60% - Accent4" xfId="74" builtinId="44" customBuiltin="1"/>
    <cellStyle name="60% - Accent4 2" xfId="16" xr:uid="{00000000-0005-0000-0000-00001F000000}"/>
    <cellStyle name="60% - Accent5" xfId="78" builtinId="48" customBuiltin="1"/>
    <cellStyle name="60% - Accent5 2" xfId="17" xr:uid="{00000000-0005-0000-0000-000021000000}"/>
    <cellStyle name="60% - Accent6" xfId="82" builtinId="52" customBuiltin="1"/>
    <cellStyle name="60% - Accent6 2" xfId="18" xr:uid="{00000000-0005-0000-0000-000023000000}"/>
    <cellStyle name="Accent1" xfId="59" builtinId="29" customBuiltin="1"/>
    <cellStyle name="Accent1 2" xfId="19" xr:uid="{00000000-0005-0000-0000-000025000000}"/>
    <cellStyle name="Accent2" xfId="63" builtinId="33" customBuiltin="1"/>
    <cellStyle name="Accent2 2" xfId="20" xr:uid="{00000000-0005-0000-0000-000027000000}"/>
    <cellStyle name="Accent3" xfId="67" builtinId="37" customBuiltin="1"/>
    <cellStyle name="Accent3 2" xfId="21" xr:uid="{00000000-0005-0000-0000-000029000000}"/>
    <cellStyle name="Accent4" xfId="71" builtinId="41" customBuiltin="1"/>
    <cellStyle name="Accent4 2" xfId="22" xr:uid="{00000000-0005-0000-0000-00002B000000}"/>
    <cellStyle name="Accent5" xfId="75" builtinId="45" customBuiltin="1"/>
    <cellStyle name="Accent5 2" xfId="23" xr:uid="{00000000-0005-0000-0000-00002D000000}"/>
    <cellStyle name="Accent6" xfId="79" builtinId="49" customBuiltin="1"/>
    <cellStyle name="Accent6 2" xfId="24" xr:uid="{00000000-0005-0000-0000-00002F000000}"/>
    <cellStyle name="Bad" xfId="49" builtinId="27" customBuiltin="1"/>
    <cellStyle name="Bad 2" xfId="25" xr:uid="{00000000-0005-0000-0000-000031000000}"/>
    <cellStyle name="Calculation" xfId="53" builtinId="22" customBuiltin="1"/>
    <cellStyle name="Calculation 2" xfId="26" xr:uid="{00000000-0005-0000-0000-000033000000}"/>
    <cellStyle name="Check Cell" xfId="55" builtinId="23" customBuiltin="1"/>
    <cellStyle name="Check Cell 2" xfId="27" xr:uid="{00000000-0005-0000-0000-000035000000}"/>
    <cellStyle name="Explanatory Text" xfId="57" builtinId="53" customBuiltin="1"/>
    <cellStyle name="Explanatory Text 2" xfId="28" xr:uid="{00000000-0005-0000-0000-000037000000}"/>
    <cellStyle name="Good" xfId="48" builtinId="26" customBuiltin="1"/>
    <cellStyle name="Good 2" xfId="29" xr:uid="{00000000-0005-0000-0000-000039000000}"/>
    <cellStyle name="Heading 1" xfId="44" builtinId="16" customBuiltin="1"/>
    <cellStyle name="Heading 1 2" xfId="30" xr:uid="{00000000-0005-0000-0000-00003B000000}"/>
    <cellStyle name="Heading 2" xfId="45" builtinId="17" customBuiltin="1"/>
    <cellStyle name="Heading 2 2" xfId="31" xr:uid="{00000000-0005-0000-0000-00003D000000}"/>
    <cellStyle name="Heading 3" xfId="46" builtinId="18" customBuiltin="1"/>
    <cellStyle name="Heading 3 2" xfId="32" xr:uid="{00000000-0005-0000-0000-00003F000000}"/>
    <cellStyle name="Heading 4" xfId="47" builtinId="19" customBuiltin="1"/>
    <cellStyle name="Heading 4 2" xfId="33" xr:uid="{00000000-0005-0000-0000-000041000000}"/>
    <cellStyle name="Hyperlink" xfId="43" builtinId="8"/>
    <cellStyle name="Input" xfId="51" builtinId="20" customBuiltin="1"/>
    <cellStyle name="Input 2" xfId="34" xr:uid="{00000000-0005-0000-0000-000044000000}"/>
    <cellStyle name="Linked Cell" xfId="54" builtinId="24" customBuiltin="1"/>
    <cellStyle name="Linked Cell 2" xfId="35" xr:uid="{00000000-0005-0000-0000-000046000000}"/>
    <cellStyle name="Neutral" xfId="50" builtinId="28" customBuiltin="1"/>
    <cellStyle name="Neutral 2" xfId="36" xr:uid="{00000000-0005-0000-0000-000048000000}"/>
    <cellStyle name="Normal" xfId="0" builtinId="0"/>
    <cellStyle name="Normal 2" xfId="37" xr:uid="{00000000-0005-0000-0000-00004A000000}"/>
    <cellStyle name="Normal 3" xfId="83" xr:uid="{00000000-0005-0000-0000-00004B000000}"/>
    <cellStyle name="Note 2" xfId="38" xr:uid="{00000000-0005-0000-0000-00004C000000}"/>
    <cellStyle name="Note 3" xfId="85" xr:uid="{00000000-0005-0000-0000-00004D000000}"/>
    <cellStyle name="Output" xfId="52" builtinId="21" customBuiltin="1"/>
    <cellStyle name="Output 2" xfId="39" xr:uid="{00000000-0005-0000-0000-00004F000000}"/>
    <cellStyle name="Title" xfId="40" builtinId="15" customBuiltin="1"/>
    <cellStyle name="Title 2" xfId="84" xr:uid="{00000000-0005-0000-0000-000051000000}"/>
    <cellStyle name="Total" xfId="58" builtinId="25" customBuiltin="1"/>
    <cellStyle name="Total 2" xfId="41" xr:uid="{00000000-0005-0000-0000-000053000000}"/>
    <cellStyle name="Warning Text" xfId="56" builtinId="11" customBuiltin="1"/>
    <cellStyle name="Warning Text 2" xfId="42" xr:uid="{00000000-0005-0000-0000-000055000000}"/>
  </cellStyles>
  <dxfs count="664"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  <dxf>
      <fill>
        <gradientFill>
          <stop position="0">
            <color theme="3" tint="0.59999389629810485"/>
          </stop>
          <stop position="0.5">
            <color theme="3" tint="0.80001220740379042"/>
          </stop>
          <stop position="1">
            <color theme="3" tint="0.59999389629810485"/>
          </stop>
        </gradientFill>
      </fill>
    </dxf>
    <dxf>
      <fill>
        <gradientFill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ill>
        <gradientFill>
          <stop position="0">
            <color theme="6" tint="0.40000610370189521"/>
          </stop>
          <stop position="0.5">
            <color theme="6" tint="0.59999389629810485"/>
          </stop>
          <stop position="1">
            <color theme="6" tint="0.40000610370189521"/>
          </stop>
        </gradientFill>
      </fill>
    </dxf>
    <dxf>
      <fill>
        <gradientFill>
          <stop position="0">
            <color theme="6" tint="0.59999389629810485"/>
          </stop>
          <stop position="0.5">
            <color theme="6" tint="0.80001220740379042"/>
          </stop>
          <stop position="1">
            <color theme="6" tint="0.59999389629810485"/>
          </stop>
        </gradientFill>
      </fill>
    </dxf>
    <dxf>
      <fill>
        <gradientFill>
          <stop position="0">
            <color theme="9" tint="0.40000610370189521"/>
          </stop>
          <stop position="0.5">
            <color theme="9" tint="0.59999389629810485"/>
          </stop>
          <stop position="1">
            <color theme="9" tint="0.40000610370189521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9" tint="0.80001220740379042"/>
          </stop>
          <stop position="1">
            <color theme="9" tint="0.59999389629810485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BDP|13772849127693885070</stp>
        <tr r="P37" s="2"/>
      </tp>
      <tp t="s">
        <v>#N/A N/A</v>
        <stp/>
        <stp>BDP|17507217877300967807</stp>
        <tr r="F12" s="2"/>
      </tp>
      <tp t="s">
        <v>#N/A N/A</v>
        <stp/>
        <stp>BDP|12806626468059820168</stp>
        <tr r="J41" s="4"/>
      </tp>
      <tp t="s">
        <v>#N/A N/A</v>
        <stp/>
        <stp>BDP|16544003942650272859</stp>
        <tr r="P27" s="2"/>
      </tp>
      <tp t="s">
        <v>#N/A N/A</v>
        <stp/>
        <stp>BDP|14480958642245570668</stp>
        <tr r="G41" s="4"/>
      </tp>
      <tp t="s">
        <v>#N/A N/A</v>
        <stp/>
        <stp>BADDPERIODS|14325466740252205832</stp>
        <tr r="N141" s="2"/>
      </tp>
      <tp t="s">
        <v>#N/A N/A</v>
        <stp/>
        <stp>BDP|13159716778200544842</stp>
        <tr r="P40" s="2"/>
      </tp>
      <tp t="s">
        <v>#N/A N/A</v>
        <stp/>
        <stp>BDP|10899762850759748062</stp>
        <tr r="P39" s="2"/>
      </tp>
      <tp t="s">
        <v>#N/A N/A</v>
        <stp/>
        <stp>BDP|16461086097887586303</stp>
        <tr r="H39" s="4"/>
      </tp>
      <tp t="s">
        <v>#N/A N/A</v>
        <stp/>
        <stp>BDP|13727991662531891649</stp>
        <tr r="P42" s="2"/>
      </tp>
      <tp t="s">
        <v>#N/A N/A</v>
        <stp/>
        <stp>BDP|15452824431171508418</stp>
        <tr r="H22" s="2"/>
      </tp>
      <tp t="s">
        <v>#N/A N/A</v>
        <stp/>
        <stp>BDP|15581620690829127813</stp>
        <tr r="L34" s="2"/>
      </tp>
      <tp t="s">
        <v>#N/A N/A</v>
        <stp/>
        <stp>BADDPERIODS|16818217482090715370</stp>
        <tr r="P56" s="2"/>
      </tp>
      <tp t="s">
        <v>#N/A N/A</v>
        <stp/>
        <stp>BDP|12189266271769884642</stp>
        <tr r="D40" s="2"/>
      </tp>
      <tp t="s">
        <v>#N/A N/A</v>
        <stp/>
        <stp>BDP|16977326069959718247</stp>
        <tr r="L25" s="2"/>
      </tp>
      <tp t="s">
        <v>#N/A N/A</v>
        <stp/>
        <stp>BDP|15767976270730389323</stp>
        <tr r="H38" s="4"/>
      </tp>
      <tp t="s">
        <v>#N/A N/A</v>
        <stp/>
        <stp>BDP|18119976786714317522</stp>
        <tr r="D36" s="2"/>
      </tp>
      <tp t="s">
        <v>#N/A N/A</v>
        <stp/>
        <stp>BDP|12356240448908911465</stp>
        <tr r="L151" s="2"/>
      </tp>
      <tp t="s">
        <v>#N/A N/A</v>
        <stp/>
        <stp>BDP|11009966026271696306</stp>
        <tr r="D29" s="2"/>
      </tp>
      <tp t="s">
        <v>#N/A N/A</v>
        <stp/>
        <stp>BDP|13219518820628219472</stp>
        <tr r="L12" s="2"/>
      </tp>
      <tp t="s">
        <v>#N/A N/A</v>
        <stp/>
        <stp>BDP|15374191023537901894</stp>
        <tr r="K37" s="4"/>
      </tp>
      <tp t="s">
        <v>#N/A N/A</v>
        <stp/>
        <stp>BDP|17850213541358655016</stp>
        <tr r="E39" s="4"/>
      </tp>
      <tp t="s">
        <v>#N/A N/A</v>
        <stp/>
        <stp>BDP|12652272603609424080</stp>
        <tr r="C139" s="2"/>
      </tp>
      <tp t="s">
        <v>#N/A N/A</v>
        <stp/>
        <stp>BDP|14690314266188710042</stp>
        <tr r="L42" s="2"/>
      </tp>
      <tp t="s">
        <v>#N/A N/A</v>
        <stp/>
        <stp>BDP|15135353906281724990</stp>
        <tr r="D43" s="2"/>
      </tp>
      <tp t="s">
        <v>#N/A N/A</v>
        <stp/>
        <stp>BDP|12667844569005331772</stp>
        <tr r="C36" s="4"/>
      </tp>
      <tp t="s">
        <v>#N/A N/A</v>
        <stp/>
        <stp>BDP|12979443131402410983</stp>
        <tr r="L23" s="2"/>
      </tp>
      <tp t="s">
        <v>#N/A N/A</v>
        <stp/>
        <stp>BDP|17724313987516283474</stp>
        <tr r="C39" s="4"/>
      </tp>
      <tp t="s">
        <v>#N/A N/A</v>
        <stp/>
        <stp>BDP|13964607287280876308</stp>
        <tr r="M38" s="4"/>
      </tp>
      <tp t="s">
        <v>#N/A N/A</v>
        <stp/>
        <stp>BDP|15379974409122470105</stp>
        <tr r="P25" s="2"/>
      </tp>
      <tp t="s">
        <v>#N/A N/A</v>
        <stp/>
        <stp>BDP|17285608668430438848</stp>
        <tr r="F38" s="4"/>
      </tp>
      <tp t="s">
        <v>#N/A N/A</v>
        <stp/>
        <stp>BDP|14224275913288220080</stp>
        <tr r="H24" s="2"/>
      </tp>
      <tp t="s">
        <v>#N/A N/A</v>
        <stp/>
        <stp>BDP|17643001415101769856</stp>
        <tr r="L140" s="2"/>
      </tp>
      <tp t="s">
        <v>#N/A N/A</v>
        <stp/>
        <stp>BDP|17354996238861979394</stp>
        <tr r="L27" s="2"/>
      </tp>
      <tp t="s">
        <v>#N/A N/A</v>
        <stp/>
        <stp>BDP|12933971246195023659</stp>
        <tr r="F36" s="4"/>
      </tp>
      <tp t="s">
        <v>#N/A N/A</v>
        <stp/>
        <stp>BDP|12661933036992640678</stp>
        <tr r="E41" s="4"/>
      </tp>
      <tp t="s">
        <v>#N/A N/A</v>
        <stp/>
        <stp>BDP|14940750651839855300</stp>
        <tr r="D34" s="2"/>
      </tp>
      <tp t="s">
        <v>#N/A N/A</v>
        <stp/>
        <stp>BADDPERIODS|16146020932935965868</stp>
        <tr r="N149" s="2"/>
        <tr r="N96" s="2"/>
        <tr r="P61" s="2"/>
      </tp>
      <tp t="s">
        <v>#N/A N/A</v>
        <stp/>
        <stp>BDP|18044923838019358605</stp>
        <tr r="G39" s="4"/>
      </tp>
      <tp t="s">
        <v>#N/A N/A</v>
        <stp/>
        <stp>BDP|10206455073506133862</stp>
        <tr r="I38" s="4"/>
      </tp>
      <tp t="s">
        <v>#N/A N/A</v>
        <stp/>
        <stp>BDP|17290447685357156177</stp>
        <tr r="L149" s="2"/>
      </tp>
      <tp t="s">
        <v>#N/A N/A</v>
        <stp/>
        <stp>BDP|15099204841288797636</stp>
        <tr r="H26" s="2"/>
      </tp>
      <tp t="s">
        <v>#N/A N/A</v>
        <stp/>
        <stp>BDP|13106735002220269977</stp>
        <tr r="P28" s="2"/>
      </tp>
      <tp t="s">
        <v>#N/A N/A</v>
        <stp/>
        <stp>BDP|15670349778887302456</stp>
        <tr r="L40" s="2"/>
      </tp>
      <tp t="s">
        <v>#N/A N/A</v>
        <stp/>
        <stp>BDP|13846777540205776746</stp>
        <tr r="F41" s="4"/>
      </tp>
      <tp t="s">
        <v>#N/A N/A</v>
        <stp/>
        <stp>BDP|16168290638547658288</stp>
        <tr r="H12" s="2"/>
      </tp>
      <tp t="s">
        <v>#N/A N/A</v>
        <stp/>
        <stp>BDP|12975747459661300363</stp>
        <tr r="L145" s="2"/>
      </tp>
      <tp t="s">
        <v>#N/A N/A</v>
        <stp/>
        <stp>BDP|14134263974935430671</stp>
        <tr r="L144" s="2"/>
      </tp>
      <tp t="s">
        <v>#N/A N/A</v>
        <stp/>
        <stp>BDP|10609774910996264249</stp>
        <tr r="P38" s="2"/>
      </tp>
      <tp t="s">
        <v>#N/A N/A</v>
        <stp/>
        <stp>BDP|18174123782735375786</stp>
        <tr r="L22" s="2"/>
      </tp>
      <tp t="s">
        <v>#N/A N/A</v>
        <stp/>
        <stp>BDP|16323029852370543083</stp>
        <tr r="L154" s="2"/>
      </tp>
      <tp t="s">
        <v>#N/A N/A</v>
        <stp/>
        <stp>BDP|17737198424620684722</stp>
        <tr r="F40" s="4"/>
      </tp>
      <tp t="s">
        <v>#N/A N/A</v>
        <stp/>
        <stp>BDP|15865747764950028782</stp>
        <tr r="D27" s="2"/>
      </tp>
      <tp t="s">
        <v>#N/A N/A</v>
        <stp/>
        <stp>BDP|11774265484518779023</stp>
        <tr r="P40" s="2"/>
      </tp>
      <tp t="s">
        <v>#N/A N/A</v>
        <stp/>
        <stp>BDP|10506638243468372944</stp>
        <tr r="Q57" s="4"/>
      </tp>
      <tp t="s">
        <v>#N/A N/A</v>
        <stp/>
        <stp>BDP|13064444521416185029</stp>
        <tr r="H37" s="2"/>
      </tp>
      <tp t="s">
        <v>#N/A N/A</v>
        <stp/>
        <stp>BADDPERIODS|12326333808390417618</stp>
        <tr r="N92" s="2"/>
        <tr r="N145" s="2"/>
        <tr r="P57" s="2"/>
      </tp>
      <tp t="s">
        <v>#N/A N/A</v>
        <stp/>
        <stp>BDP|10898637357681048263</stp>
        <tr r="M40" s="4"/>
      </tp>
      <tp t="s">
        <v>#N/A N/A</v>
        <stp/>
        <stp>BDP|11688726632297525229</stp>
        <tr r="L143" s="2"/>
      </tp>
      <tp t="s">
        <v>#N/A N/A</v>
        <stp/>
        <stp>BDP|14731619301817976598</stp>
        <tr r="H28" s="2"/>
      </tp>
      <tp t="s">
        <v>#N/A N/A</v>
        <stp/>
        <stp>BDP|14044482404902507318</stp>
        <tr r="L41" s="2"/>
      </tp>
      <tp t="s">
        <v>#N/A N/A</v>
        <stp/>
        <stp>BDP|12415211000337777644</stp>
        <tr r="E36" s="4"/>
      </tp>
      <tp t="s">
        <v>#N/A N/A</v>
        <stp/>
        <stp>BADDPERIODS|10007043472875814731</stp>
        <tr r="P66" s="2"/>
      </tp>
      <tp t="s">
        <v>#N/A N/A</v>
        <stp/>
        <stp>BADDPERIODS|10002761400685726718</stp>
        <tr r="N148" s="2"/>
        <tr r="N95" s="2"/>
        <tr r="P60" s="2"/>
      </tp>
      <tp t="s">
        <v>#N/A Requesting Data...4230587565</v>
        <stp/>
        <stp>BDP|13227155165816825419</stp>
        <tr r="N52" s="2"/>
        <tr r="N67" s="2"/>
        <tr r="N60" s="2"/>
        <tr r="N54" s="2"/>
        <tr r="N68" s="2"/>
        <tr r="N63" s="2"/>
        <tr r="N57" s="2"/>
        <tr r="N55" s="2"/>
        <tr r="N65" s="2"/>
        <tr r="N66" s="2"/>
        <tr r="N69" s="2"/>
        <tr r="N58" s="2"/>
        <tr r="N70" s="2"/>
        <tr r="N71" s="2"/>
        <tr r="N59" s="2"/>
        <tr r="N53" s="2"/>
        <tr r="N56" s="2"/>
        <tr r="N62" s="2"/>
        <tr r="N64" s="2"/>
        <tr r="N61" s="2"/>
        <tr r="N72" s="2"/>
      </tp>
      <tp t="s">
        <v>#N/A N/A</v>
        <stp/>
        <stp>BDP|13221314558094417720</stp>
        <tr r="L148" s="2"/>
      </tp>
      <tp t="s">
        <v>#N/A N/A</v>
        <stp/>
        <stp>BDP|10733947563781878847</stp>
        <tr r="M41" s="4"/>
      </tp>
      <tp t="s">
        <v>#N/A N/A</v>
        <stp/>
        <stp>BDP|14582151722036372710</stp>
        <tr r="D25" s="2"/>
      </tp>
      <tp t="s">
        <v>#N/A N/A</v>
        <stp/>
        <stp>BDP|17354063454177722350</stp>
        <tr r="L29" s="2"/>
      </tp>
      <tp t="s">
        <v>#N/A N/A</v>
        <stp/>
        <stp>BDP|15062096824442320396</stp>
        <tr r="C37" s="4"/>
      </tp>
      <tp t="s">
        <v>#N/A N/A</v>
        <stp/>
        <stp>BADDPERIODS|13954552762903828109</stp>
        <tr r="P69" s="2"/>
      </tp>
      <tp t="s">
        <v>#N/A N/A</v>
        <stp/>
        <stp>BDP|13155182052661606149</stp>
        <tr r="H25" s="2"/>
      </tp>
      <tp t="s">
        <v>#N/A N/A</v>
        <stp/>
        <stp>BDP|18138848359306461408</stp>
        <tr r="L142" s="2"/>
      </tp>
      <tp t="s">
        <v>#N/A N/A</v>
        <stp/>
        <stp>BDP|13048696989573919913</stp>
        <tr r="E40" s="4"/>
      </tp>
      <tp t="s">
        <v>#N/A N/A</v>
        <stp/>
        <stp>BDP|12436716988322680808</stp>
        <tr r="M36" s="4"/>
      </tp>
      <tp t="s">
        <v>#N/A N/A</v>
        <stp/>
        <stp>BDP|11416557977925164195</stp>
        <tr r="K36" s="4"/>
      </tp>
      <tp t="s">
        <v>#N/A N/A</v>
        <stp/>
        <stp>BDP|16809326399893227806</stp>
        <tr r="P41" s="2"/>
      </tp>
      <tp t="s">
        <v>#N/A N/A</v>
        <stp/>
        <stp>BDP|13445157240933460255</stp>
        <tr r="Q59" s="4"/>
      </tp>
      <tp t="s">
        <v>#N/A N/A</v>
        <stp/>
        <stp>BDP|10821788751783660674</stp>
        <tr r="C69" s="2"/>
      </tp>
      <tp t="s">
        <v>#N/A N/A</v>
        <stp/>
        <stp>BDP|12470287859812733000</stp>
        <tr r="D42" s="2"/>
      </tp>
      <tp t="s">
        <v>#N/A N/A</v>
        <stp/>
        <stp>BDP|17696099219129659855</stp>
        <tr r="H38" s="2"/>
      </tp>
      <tp t="s">
        <v>#N/A N/A</v>
        <stp/>
        <stp>BDP|11887737672610892656</stp>
        <tr r="H42" s="2"/>
      </tp>
      <tp t="s">
        <v>#N/A N/A</v>
        <stp/>
        <stp>BDS|18146714713359217395</stp>
        <tr r="L115" s="2"/>
      </tp>
      <tp t="s">
        <v>#N/A N/A</v>
        <stp/>
        <stp>BDP|11804544271640134725</stp>
        <tr r="J40" s="4"/>
      </tp>
      <tp t="s">
        <v>#N/A N/A</v>
        <stp/>
        <stp>BDP|17144243958712418708</stp>
        <tr r="D41" s="4"/>
      </tp>
      <tp t="s">
        <v>#N/A N/A</v>
        <stp/>
        <stp>BDP|12402301314292249735</stp>
        <tr r="L91" s="2"/>
      </tp>
      <tp t="s">
        <v>#N/A N/A</v>
        <stp/>
        <stp>BDP|16586607553081453102</stp>
        <tr r="L38" s="2"/>
      </tp>
      <tp t="s">
        <v>#N/A N/A</v>
        <stp/>
        <stp>BDP|15924582867703188053</stp>
        <tr r="D45" s="2"/>
      </tp>
      <tp t="s">
        <v>#N/A N/A</v>
        <stp/>
        <stp>BDP|13458325777782737042</stp>
        <tr r="D39" s="4"/>
      </tp>
      <tp t="s">
        <v>#N/A N/A</v>
        <stp/>
        <stp>BDP|15995487669246450499</stp>
        <tr r="J39" s="4"/>
      </tp>
      <tp t="s">
        <v>#N/A N/A</v>
        <stp/>
        <stp>BDP|16487162381933567917</stp>
        <tr r="M37" s="4"/>
      </tp>
      <tp t="s">
        <v>#N/A N/A</v>
        <stp/>
        <stp>BDP|14244196166533384586</stp>
        <tr r="D40" s="4"/>
      </tp>
      <tp t="s">
        <v>#N/A N/A</v>
        <stp/>
        <stp>BADDPERIODS|17278942293206173095</stp>
        <tr r="N154" s="2"/>
        <tr r="P70" s="2"/>
      </tp>
    </main>
    <main first="bofaddin.rtdserver">
      <tp t="s">
        <v>#N/A N/A</v>
        <stp/>
        <stp>BDP|8106462959813796632</stp>
        <tr r="J37" s="4"/>
      </tp>
      <tp t="s">
        <v>#N/A N/A</v>
        <stp/>
        <stp>BDP|6716021173609667489</stp>
        <tr r="D36" s="4"/>
      </tp>
      <tp t="s">
        <v>#N/A N/A</v>
        <stp/>
        <stp>BDP|7069245678227250932</stp>
        <tr r="J38" s="4"/>
      </tp>
      <tp t="s">
        <v>#N/A N/A</v>
        <stp/>
        <stp>BDP|9311401533491710378</stp>
        <tr r="L93" s="2"/>
      </tp>
      <tp t="s">
        <v>#N/A N/A</v>
        <stp/>
        <stp>BDP|2466850516297713002</stp>
        <tr r="L96" s="2"/>
      </tp>
      <tp t="s">
        <v>#N/A N/A</v>
        <stp/>
        <stp>BDP|4575597489665700058</stp>
        <tr r="M39" s="4"/>
      </tp>
      <tp t="s">
        <v>#N/A N/A</v>
        <stp/>
        <stp>BDP|5923295493526331471</stp>
        <tr r="D23" s="2"/>
      </tp>
      <tp t="s">
        <v>#N/A N/A</v>
        <stp/>
        <stp>BDP|8556171495099430569</stp>
        <tr r="P39" s="2"/>
      </tp>
      <tp t="s">
        <v>#N/A N/A</v>
        <stp/>
        <stp>BDP|8247536880770671923</stp>
        <tr r="H37" s="4"/>
      </tp>
      <tp t="s">
        <v>#N/A N/A</v>
        <stp/>
        <stp>BDS|5911232787944952718</stp>
        <tr r="J115" s="2"/>
      </tp>
      <tp t="s">
        <v>#N/A N/A</v>
        <stp/>
        <stp>BDP|6849949057170678750</stp>
        <tr r="I39" s="4"/>
      </tp>
      <tp t="s">
        <v>#N/A N/A</v>
        <stp/>
        <stp>BDP|4268740663610819831</stp>
        <tr r="P36" s="2"/>
      </tp>
      <tp t="s">
        <v>#N/A N/A</v>
        <stp/>
        <stp>BDP|9239280867956296615</stp>
        <tr r="P45" s="2"/>
      </tp>
      <tp t="s">
        <v>#N/A N/A</v>
        <stp/>
        <stp>BDP|9364107222354002328</stp>
        <tr r="L98" s="2"/>
      </tp>
    </main>
    <main first="bofaddin.rtdserver">
      <tp t="s">
        <v>#N/A N/A</v>
        <stp/>
        <stp>BDP|6917725164709033042</stp>
        <tr r="K40" s="4"/>
      </tp>
      <tp t="s">
        <v>#N/A N/A</v>
        <stp/>
        <stp>BDP|2742195284700403565</stp>
        <tr r="H29" s="2"/>
      </tp>
      <tp t="s">
        <v>#N/A N/A</v>
        <stp/>
        <stp>BDP|7764469673748311289</stp>
        <tr r="L39" s="4"/>
      </tp>
      <tp t="s">
        <v>#N/A N/A</v>
        <stp/>
        <stp>BDS|8977288802853207715</stp>
        <tr r="L52" s="2"/>
      </tp>
      <tp t="s">
        <v>#N/A N/A</v>
        <stp/>
        <stp>BDP|1741168777440685913</stp>
        <tr r="P12" s="2"/>
      </tp>
      <tp t="s">
        <v>#N/A N/A</v>
        <stp/>
        <stp>BDP|1975266445798068006</stp>
        <tr r="K38" s="4"/>
      </tp>
      <tp t="s">
        <v>#N/A N/A</v>
        <stp/>
        <stp>BDP|2145233745809775290</stp>
        <tr r="L92" s="2"/>
      </tp>
      <tp t="s">
        <v>#N/A N/A</v>
        <stp/>
        <stp>BDP|1712430499605246660</stp>
        <tr r="P35" s="2"/>
      </tp>
      <tp t="s">
        <v>#N/A N/A</v>
        <stp/>
        <stp>BDP|4091487608297431884</stp>
        <tr r="I40" s="4"/>
      </tp>
      <tp t="s">
        <v>#N/A N/A</v>
        <stp/>
        <stp>BDP|9337712524187031461</stp>
        <tr r="L150" s="2"/>
      </tp>
      <tp t="s">
        <v>#N/A N/A</v>
        <stp/>
        <stp>BDP|4471239039853891918</stp>
        <tr r="P41" s="2"/>
      </tp>
      <tp t="s">
        <v>#N/A N/A</v>
        <stp/>
        <stp>BDP|8895259748794776579</stp>
        <tr r="D44" s="2"/>
      </tp>
      <tp t="s">
        <v>#N/A N/A</v>
        <stp/>
        <stp>BDP|2164070116019321567</stp>
        <tr r="H35" s="2"/>
        <tr r="H44" s="2"/>
      </tp>
      <tp t="s">
        <v>#N/A N/A</v>
        <stp/>
        <stp>BDP|8691195868801487692</stp>
        <tr r="L97" s="2"/>
      </tp>
      <tp t="s">
        <v>#N/A N/A</v>
        <stp/>
        <stp>BDP|4842915622123179460</stp>
        <tr r="D38" s="4"/>
      </tp>
      <tp t="s">
        <v>#N/A N/A</v>
        <stp/>
        <stp>BDP|8303425355411494003</stp>
        <tr r="L147" s="2"/>
      </tp>
      <tp t="s">
        <v>#N/A N/A</v>
        <stp/>
        <stp>BDP|5463860293875189918</stp>
        <tr r="L100" s="2"/>
      </tp>
      <tp t="s">
        <v>#N/A N/A</v>
        <stp/>
        <stp>BDP|6638325718178915566</stp>
        <tr r="C40" s="4"/>
      </tp>
      <tp t="s">
        <v>#N/A N/A</v>
        <stp/>
        <stp>BDP|2483245877467218922</stp>
        <tr r="D26" s="2"/>
      </tp>
      <tp t="s">
        <v>#N/A N/A</v>
        <stp/>
        <stp>BDP|5814795445548263712</stp>
        <tr r="L146" s="2"/>
      </tp>
      <tp t="s">
        <v>#N/A N/A</v>
        <stp/>
        <stp>BDP|3385929405915440659</stp>
        <tr r="H34" s="2"/>
      </tp>
      <tp t="s">
        <v>#N/A N/A</v>
        <stp/>
        <stp>BDH|56336978647081719</stp>
        <tr r="Q34" s="4"/>
      </tp>
      <tp t="s">
        <v>#N/A N/A</v>
        <stp/>
        <stp>BDP|5928306617009221470</stp>
        <tr r="D22" s="2"/>
      </tp>
      <tp t="s">
        <v>#N/A N/A</v>
        <stp/>
        <stp>BDP|1735545149219267396</stp>
        <tr r="L99" s="2"/>
      </tp>
      <tp t="s">
        <v>#N/A N/A</v>
        <stp/>
        <stp>BDP|7242926772031734210</stp>
        <tr r="D24" s="2"/>
      </tp>
      <tp t="s">
        <v>#N/A N/A</v>
        <stp/>
        <stp>BDP|8443886191453358101</stp>
        <tr r="P24" s="2"/>
      </tp>
      <tp t="s">
        <v>#N/A N/A</v>
        <stp/>
        <stp>BDP|6114728360254503898</stp>
        <tr r="D41" s="2"/>
      </tp>
      <tp t="s">
        <v>#N/A N/A</v>
        <stp/>
        <stp>BDP|5320201182206651277</stp>
        <tr r="P44" s="2"/>
      </tp>
      <tp t="s">
        <v>#N/A N/A</v>
        <stp/>
        <stp>BDP|1333275050315369814</stp>
        <tr r="N12" s="2"/>
      </tp>
      <tp t="s">
        <v>#N/A N/A</v>
        <stp/>
        <stp>BDP|8377789850822924358</stp>
        <tr r="L141" s="2"/>
      </tp>
      <tp t="s">
        <v>#N/A N/A</v>
        <stp/>
        <stp>BDP|3771933048244977111</stp>
        <tr r="H45" s="2"/>
      </tp>
      <tp t="s">
        <v>#N/A N/A</v>
        <stp/>
        <stp>BDP|2979662811567032679</stp>
        <tr r="L44" s="2"/>
      </tp>
      <tp t="s">
        <v>#N/A N/A</v>
        <stp/>
        <stp>BDP|8295418951248926523</stp>
        <tr r="C38" s="4"/>
      </tp>
      <tp t="s">
        <v>#N/A N/A</v>
        <stp/>
        <stp>BDP|5818131610605520413</stp>
        <tr r="L94" s="2"/>
      </tp>
      <tp t="s">
        <v>#N/A N/A</v>
        <stp/>
        <stp>BDP|6103692154127360638</stp>
        <tr r="H39" s="2"/>
      </tp>
      <tp t="s">
        <v>#N/A N/A</v>
        <stp/>
        <stp>BDP|1965878864163416828</stp>
        <tr r="L152" s="2"/>
      </tp>
      <tp t="s">
        <v>#N/A N/A</v>
        <stp/>
        <stp>BDP|8579030964013131915</stp>
        <tr r="L39" s="2"/>
      </tp>
      <tp t="s">
        <v>#N/A N/A</v>
        <stp/>
        <stp>BDP|8729034937468448769</stp>
        <tr r="C41" s="4"/>
      </tp>
      <tp t="s">
        <v>#N/A N/A</v>
        <stp/>
        <stp>BDP|8586675580036103441</stp>
        <tr r="L40" s="4"/>
      </tp>
      <tp t="s">
        <v>#N/A N/A</v>
        <stp/>
        <stp>BDP|6970184726948186915</stp>
        <tr r="P43" s="2"/>
      </tp>
      <tp t="s">
        <v>#N/A N/A</v>
        <stp/>
        <stp>BDP|3459526017697141585</stp>
        <tr r="J12" s="2"/>
      </tp>
      <tp t="s">
        <v>#N/A N/A</v>
        <stp/>
        <stp>BDP|8616059548640515974</stp>
        <tr r="H41" s="4"/>
      </tp>
      <tp t="s">
        <v>#N/A N/A</v>
        <stp/>
        <stp>BDP|6144366919025203413</stp>
        <tr r="F37" s="4"/>
      </tp>
      <tp t="s">
        <v>#N/A N/A</v>
        <stp/>
        <stp>BDP|8762932540256184675</stp>
        <tr r="D35" s="2"/>
      </tp>
      <tp t="s">
        <v>#N/A N/A</v>
        <stp/>
        <stp>BDP|4747758720726611268</stp>
        <tr r="L90" s="2"/>
      </tp>
      <tp t="s">
        <v>#N/A N/A</v>
        <stp/>
        <stp>BDP|6749835102633041878</stp>
        <tr r="P26" s="2"/>
      </tp>
      <tp t="s">
        <v>#N/A N/A</v>
        <stp/>
        <stp>BDP|9688542676948202609</stp>
        <tr r="H40" s="4"/>
      </tp>
      <tp t="s">
        <v>#N/A N/A</v>
        <stp/>
        <stp>BDP|6035672567422432130</stp>
        <tr r="P29" s="2"/>
      </tp>
      <tp t="s">
        <v>#N/A N/A</v>
        <stp/>
        <stp>BDP|1784365919522706753</stp>
        <tr r="L36" s="4"/>
      </tp>
      <tp t="s">
        <v>#N/A N/A</v>
        <stp/>
        <stp>BDP|6415185463736874153</stp>
        <tr r="D47" s="2"/>
      </tp>
      <tp t="s">
        <v>#N/A N/A</v>
        <stp/>
        <stp>BDP|7886393632732782339</stp>
        <tr r="D37" s="4"/>
      </tp>
      <tp t="s">
        <v>#N/A N/A</v>
        <stp/>
        <stp>BDP|7060872924103912930</stp>
        <tr r="I37" s="4"/>
      </tp>
      <tp t="s">
        <v>#N/A N/A</v>
        <stp/>
        <stp>BDP|7044078136163744091</stp>
        <tr r="D39" s="2"/>
      </tp>
      <tp t="s">
        <v>#N/A N/A</v>
        <stp/>
        <stp>BDP|7994537404063071618</stp>
        <tr r="L37" s="4"/>
      </tp>
      <tp t="s">
        <v>#N/A N/A</v>
        <stp/>
        <stp>BDP|7784895692414044507</stp>
        <tr r="L95" s="2"/>
      </tp>
      <tp t="s">
        <v>#N/A N/A</v>
        <stp/>
        <stp>BDP|7803898085527036763</stp>
        <tr r="P22" s="2"/>
      </tp>
      <tp t="s">
        <v>#N/A N/A</v>
        <stp/>
        <stp>BDP|1005650967374285227</stp>
        <tr r="E38" s="4"/>
      </tp>
      <tp t="s">
        <v>#N/A N/A</v>
        <stp/>
        <stp>BDP|7549840684003358347</stp>
        <tr r="D46" s="2"/>
      </tp>
      <tp t="s">
        <v>#N/A N/A</v>
        <stp/>
        <stp>BDP|6383345341292352443</stp>
        <tr r="R12" s="2"/>
      </tp>
      <tp t="s">
        <v>#N/A N/A</v>
        <stp/>
        <stp>BDP|7223018468801928744</stp>
        <tr r="H23" s="2"/>
      </tp>
      <tp t="s">
        <v>#N/A N/A</v>
        <stp/>
        <stp>BDP|4290346801259015906</stp>
        <tr r="H41" s="2"/>
      </tp>
      <tp t="s">
        <v>#N/A N/A</v>
        <stp/>
        <stp>BDP|6318916397010565627</stp>
        <tr r="G38" s="4"/>
      </tp>
      <tp t="s">
        <v>#N/A N/A</v>
        <stp/>
        <stp>BDP|7704996322339252589</stp>
        <tr r="L153" s="2"/>
      </tp>
      <tp t="s">
        <v>#N/A N/A</v>
        <stp/>
        <stp>BDP|4443742745310062725</stp>
        <tr r="K41" s="4"/>
      </tp>
      <tp t="s">
        <v>#N/A N/A</v>
        <stp/>
        <stp>BDP|2193825425268554073</stp>
        <tr r="J36" s="4"/>
      </tp>
      <tp t="s">
        <v>#N/A N/A</v>
        <stp/>
        <stp>BDP|1662471600296266375</stp>
        <tr r="H43" s="2"/>
      </tp>
      <tp t="s">
        <v>#N/A N/A</v>
        <stp/>
        <stp>BDP|8156982385740596836</stp>
        <tr r="H36" s="2"/>
      </tp>
      <tp t="s">
        <v>#N/A N/A</v>
        <stp/>
        <stp>BDP|8743262328769507056</stp>
        <tr r="L43" s="2"/>
      </tp>
      <tp t="s">
        <v>#N/A N/A</v>
        <stp/>
        <stp>BDP|9082180012508550034</stp>
        <tr r="L24" s="2"/>
      </tp>
      <tp t="s">
        <v>#N/A N/A</v>
        <stp/>
        <stp>BDP|8958406792296819211</stp>
        <tr r="D38" s="2"/>
      </tp>
      <tp t="s">
        <v>#N/A N/A</v>
        <stp/>
        <stp>BDP|7419108692158769625</stp>
        <tr r="G40" s="4"/>
      </tp>
      <tp t="s">
        <v>#N/A N/A</v>
        <stp/>
        <stp>BDP|5648479620014082602</stp>
        <tr r="H46" s="2"/>
      </tp>
      <tp t="s">
        <v>#N/A N/A</v>
        <stp/>
        <stp>BDP|6042417925552448378</stp>
        <tr r="G37" s="4"/>
      </tp>
      <tp t="s">
        <v>#N/A N/A</v>
        <stp/>
        <stp>BDP|1687416317957975112</stp>
        <tr r="L28" s="2"/>
      </tp>
      <tp t="s">
        <v>#N/A N/A</v>
        <stp/>
        <stp>BDP|8745390803959688067</stp>
        <tr r="P23" s="2"/>
      </tp>
      <tp t="s">
        <v>#N/A N/A</v>
        <stp/>
        <stp>BDP|8095062506369556325</stp>
        <tr r="L41" s="4"/>
      </tp>
      <tp t="s">
        <v>#N/A Requesting Data...1023328320</v>
        <stp/>
        <stp>BDP|1699628564967565421</stp>
        <tr r="D29" s="2"/>
      </tp>
      <tp t="s">
        <v>#N/A N/A</v>
        <stp/>
        <stp>BDP|3604053761872439525</stp>
        <tr r="L35" s="2"/>
      </tp>
      <tp t="s">
        <v>#N/A N/A</v>
        <stp/>
        <stp>BDP|5823344013897811239</stp>
        <tr r="D12" s="2"/>
      </tp>
      <tp t="s">
        <v>#N/A N/A</v>
        <stp/>
        <stp>BDP|3013251453926402186</stp>
        <tr r="D28" s="2"/>
      </tp>
      <tp t="s">
        <v>#N/A N/A</v>
        <stp/>
        <stp>BDP|1682526236891008585</stp>
        <tr r="H27" s="2"/>
      </tp>
      <tp t="s">
        <v>#N/A N/A</v>
        <stp/>
        <stp>BDP|3415940148389998480</stp>
        <tr r="H40" s="2"/>
      </tp>
      <tp t="s">
        <v>#N/A N/A</v>
        <stp/>
        <stp>BDP|9758608217095631880</stp>
        <tr r="E37" s="4"/>
      </tp>
      <tp t="s">
        <v>#N/A N/A</v>
        <stp/>
        <stp>BDP|3874848353075352803</stp>
        <tr r="D30" s="2"/>
      </tp>
      <tp t="s">
        <v>#N/A N/A</v>
        <stp/>
        <stp>BDS|9799849649390899614</stp>
        <tr r="J52" s="2"/>
      </tp>
      <tp t="s">
        <v>#N/A N/A</v>
        <stp/>
        <stp>BDP|2348845366306545942</stp>
        <tr r="L38" s="4"/>
      </tp>
      <tp t="s">
        <v>#N/A N/A</v>
        <stp/>
        <stp>BDP|6050803785967388260</stp>
        <tr r="D37" s="2"/>
      </tp>
      <tp t="s">
        <v>#N/A N/A</v>
        <stp/>
        <stp>BDP|3490877787104170425</stp>
        <tr r="F39" s="4"/>
      </tp>
      <tp t="s">
        <v>#N/A N/A</v>
        <stp/>
        <stp>BDP|5390240052848128932</stp>
        <tr r="L26" s="2"/>
      </tp>
      <tp t="s">
        <v>#N/A N/A</v>
        <stp/>
        <stp>BDP|3528573626715427255</stp>
        <tr r="I36" s="4"/>
      </tp>
      <tp t="s">
        <v>#N/A N/A</v>
        <stp/>
        <stp>BDP|6185044208096090381</stp>
        <tr r="K39" s="4"/>
      </tp>
      <tp t="s">
        <v>#N/A N/A</v>
        <stp/>
        <stp>BADDPERIODS|9810475682161099714</stp>
        <tr r="N93" s="2"/>
        <tr r="N146" s="2"/>
        <tr r="P58" s="2"/>
      </tp>
      <tp t="s">
        <v>#N/A N/A</v>
        <stp/>
        <stp>BADDPERIODS|9539541243739170348</stp>
        <tr r="N153" s="2"/>
        <tr r="P68" s="2"/>
      </tp>
      <tp t="s">
        <v>#N/A N/A</v>
        <stp/>
        <stp>BADDPERIODS|3432279602946482653</stp>
        <tr r="P54" s="2"/>
      </tp>
      <tp t="s">
        <v>#N/A N/A</v>
        <stp/>
        <stp>BADDPERIODS|1028158671550494787</stp>
        <tr r="N94" s="2"/>
        <tr r="N147" s="2"/>
        <tr r="P59" s="2"/>
      </tp>
      <tp t="s">
        <v>#N/A N/A</v>
        <stp/>
        <stp>BADDPERIODS|3032174917443617007</stp>
        <tr r="N99" s="2"/>
        <tr r="P64" s="2"/>
      </tp>
      <tp t="s">
        <v>#N/A N/A</v>
        <stp/>
        <stp>BADDPERIODS|3316080736737776140</stp>
        <tr r="N151" s="2"/>
        <tr r="N100" s="2"/>
        <tr r="P65" s="2"/>
      </tp>
      <tp t="s">
        <v>#N/A N/A</v>
        <stp/>
        <stp>BADDPERIODS|6324272604662900048</stp>
        <tr r="P72" s="2"/>
      </tp>
      <tp t="s">
        <v>#N/A N/A</v>
        <stp/>
        <stp>BADDPERIODS|5598411722670862610</stp>
        <tr r="N97" s="2"/>
        <tr r="N150" s="2"/>
        <tr r="P62" s="2"/>
      </tp>
      <tp t="s">
        <v>#N/A N/A</v>
        <stp/>
        <stp>BADDPERIODS|4845320215456679588</stp>
        <tr r="N144" s="2"/>
        <tr r="N91" s="2"/>
        <tr r="P55" s="2"/>
      </tp>
      <tp t="s">
        <v>#N/A N/A</v>
        <stp/>
        <stp>BADDPERIODS|7574850673931709316</stp>
        <tr r="N152" s="2"/>
        <tr r="P67" s="2"/>
      </tp>
      <tp t="s">
        <v>#N/A N/A</v>
        <stp/>
        <stp>BADDPERIODS|9800566504374530177</stp>
        <tr r="N98" s="2"/>
        <tr r="P63" s="2"/>
      </tp>
      <tp t="s">
        <v>#N/A N/A</v>
        <stp/>
        <stp>BADDPERIODS|3859787680690779401</stp>
        <tr r="N140" s="2"/>
      </tp>
      <tp t="s">
        <v>#N/A N/A</v>
        <stp/>
        <stp>BADDPERIODS|8507079222196289192</stp>
        <tr r="P52" s="2"/>
        <tr r="N142" s="2"/>
      </tp>
      <tp t="s">
        <v>#N/A N/A</v>
        <stp/>
        <stp>BADDPERIODS|1943470329118242267</stp>
        <tr r="P71" s="2"/>
      </tp>
      <tp t="s">
        <v>#N/A N/A</v>
        <stp/>
        <stp>BADDPERIODS|7577785118335766830</stp>
        <tr r="N143" s="2"/>
        <tr r="N90" s="2"/>
        <tr r="P53" s="2"/>
      </tp>
      <tp t="s">
        <v>#N/A N/A</v>
        <stp/>
        <stp>BDP|495759877100434524</stp>
        <tr r="L36" s="2"/>
      </tp>
      <tp t="s">
        <v>#N/A N/A</v>
        <stp/>
        <stp>BDP|854160268061615098</stp>
        <tr r="H36" s="4"/>
      </tp>
      <tp t="s">
        <v>#N/A Requesting Data...3586249909</v>
        <stp/>
        <stp>BTODAY|2371188678518069832</stp>
        <tr r="N149" s="2"/>
        <tr r="N141" s="2"/>
        <tr r="N97" s="2"/>
        <tr r="N153" s="2"/>
        <tr r="N92" s="2"/>
        <tr r="N144" s="2"/>
        <tr r="N94" s="2"/>
        <tr r="P52" s="2"/>
        <tr r="N93" s="2"/>
        <tr r="N96" s="2"/>
        <tr r="N147" s="2"/>
        <tr r="N99" s="2"/>
        <tr r="N143" s="2"/>
        <tr r="N151" s="2"/>
        <tr r="N91" s="2"/>
        <tr r="N140" s="2"/>
        <tr r="N148" s="2"/>
        <tr r="N142" s="2"/>
        <tr r="N145" s="2"/>
        <tr r="N95" s="2"/>
        <tr r="N100" s="2"/>
        <tr r="N150" s="2"/>
        <tr r="N152" s="2"/>
        <tr r="N98" s="2"/>
        <tr r="N154" s="2"/>
        <tr r="N146" s="2"/>
        <tr r="P56" s="2"/>
        <tr r="P66" s="2"/>
        <tr r="P70" s="2"/>
        <tr r="P54" s="2"/>
        <tr r="P63" s="2"/>
        <tr r="P59" s="2"/>
        <tr r="N90" s="2"/>
        <tr r="P55" s="2"/>
        <tr r="P72" s="2"/>
        <tr r="P71" s="2"/>
        <tr r="P68" s="2"/>
        <tr r="P64" s="2"/>
        <tr r="P61" s="2"/>
        <tr r="P53" s="2"/>
        <tr r="P65" s="2"/>
        <tr r="P58" s="2"/>
        <tr r="P57" s="2"/>
        <tr r="P60" s="2"/>
        <tr r="P62" s="2"/>
        <tr r="P67" s="2"/>
        <tr r="P69" s="2"/>
      </tp>
      <tp t="s">
        <v>#N/A N/A</v>
        <stp/>
        <stp>BDP|373748285727774888</stp>
        <tr r="H30" s="2"/>
      </tp>
      <tp t="s">
        <v>#N/A N/A</v>
        <stp/>
        <stp>BDP|169873380624577971</stp>
        <tr r="P34" s="2"/>
      </tp>
      <tp t="s">
        <v>#N/A N/A</v>
        <stp/>
        <stp>BDP|153393154089238153</stp>
        <tr r="I41" s="4"/>
      </tp>
      <tp t="s">
        <v>#N/A N/A</v>
        <stp/>
        <stp>BDP|420404726369541614</stp>
        <tr r="L37" s="2"/>
      </tp>
      <tp t="s">
        <v>#N/A N/A</v>
        <stp/>
        <stp>BDP|513677176722744825</stp>
        <tr r="G36" s="4"/>
      </tp>
    </main>
  </volType>
</volType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6E31370-3F7A-11CE-BED6-00AA00611080}" ax:persistence="persistStorage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'Pricing Analysis'!$C$69</c:f>
          <c:strCache>
            <c:ptCount val="1"/>
            <c:pt idx="0">
              <c:v>US Dollar Swaps (30/360, S/A) Curve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multiLvlStrRef>
              <c:f>[0]!BB_YIELDCURV_DATES</c:f>
            </c:multiLvlStrRef>
          </c:cat>
          <c:val>
            <c:numRef>
              <c:f>[0]!BB_YIELDCURV_DATA</c:f>
            </c:numRef>
          </c:val>
          <c:smooth val="0"/>
          <c:extLst>
            <c:ext xmlns:c16="http://schemas.microsoft.com/office/drawing/2014/chart" uri="{C3380CC4-5D6E-409C-BE32-E72D297353CC}">
              <c16:uniqueId val="{00000000-D092-41DD-BF95-ECDEABE16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721800"/>
        <c:axId val="661722192"/>
      </c:lineChart>
      <c:catAx>
        <c:axId val="661721800"/>
        <c:scaling>
          <c:orientation val="minMax"/>
        </c:scaling>
        <c:delete val="0"/>
        <c:axPos val="b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800" b="1"/>
            </a:pPr>
            <a:endParaRPr lang="en-US"/>
          </a:p>
        </c:txPr>
        <c:crossAx val="661722192"/>
        <c:crosses val="autoZero"/>
        <c:auto val="1"/>
        <c:lblAlgn val="ctr"/>
        <c:lblOffset val="100"/>
        <c:tickLblSkip val="10"/>
        <c:noMultiLvlLbl val="0"/>
      </c:catAx>
      <c:valAx>
        <c:axId val="661722192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6617218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Credit Curve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multiLvlStrRef>
              <c:f>'Pricing Analysis'!$N$90:$N$100</c:f>
            </c:multiLvlStrRef>
          </c:cat>
          <c:val>
            <c:numRef>
              <c:f>'Pricing Analysis'!$L$90:$L$100</c:f>
            </c:numRef>
          </c:val>
          <c:smooth val="0"/>
          <c:extLst>
            <c:ext xmlns:c16="http://schemas.microsoft.com/office/drawing/2014/chart" uri="{C3380CC4-5D6E-409C-BE32-E72D297353CC}">
              <c16:uniqueId val="{00000000-7C31-42FA-958A-F4E2149E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722976"/>
        <c:axId val="661723368"/>
      </c:lineChart>
      <c:catAx>
        <c:axId val="661722976"/>
        <c:scaling>
          <c:orientation val="minMax"/>
        </c:scaling>
        <c:delete val="0"/>
        <c:axPos val="b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800" b="1"/>
            </a:pPr>
            <a:endParaRPr lang="en-US"/>
          </a:p>
        </c:txPr>
        <c:crossAx val="661723368"/>
        <c:crosses val="autoZero"/>
        <c:auto val="1"/>
        <c:lblAlgn val="ctr"/>
        <c:lblOffset val="100"/>
        <c:noMultiLvlLbl val="1"/>
      </c:catAx>
      <c:valAx>
        <c:axId val="661723368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6617229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Credit Curve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[0]!BB_DVD_DATA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[0]!BB_DVD_DATES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801-4F60-8806-884927EDF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724152"/>
        <c:axId val="661724544"/>
      </c:lineChart>
      <c:catAx>
        <c:axId val="661724152"/>
        <c:scaling>
          <c:orientation val="minMax"/>
        </c:scaling>
        <c:delete val="0"/>
        <c:axPos val="b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800" b="1"/>
            </a:pPr>
            <a:endParaRPr lang="en-US"/>
          </a:p>
        </c:txPr>
        <c:crossAx val="661724544"/>
        <c:crosses val="autoZero"/>
        <c:auto val="1"/>
        <c:lblAlgn val="ctr"/>
        <c:lblOffset val="100"/>
        <c:noMultiLvlLbl val="0"/>
      </c:catAx>
      <c:valAx>
        <c:axId val="661724544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66172415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Volatility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multiLvlStrRef>
              <c:f>'Pricing Analysis'!$J$140:$J$154</c:f>
            </c:multiLvlStrRef>
          </c:cat>
          <c:val>
            <c:numRef>
              <c:f>'Pricing Analysis'!$L$140:$L$154</c:f>
            </c:numRef>
          </c:val>
          <c:smooth val="0"/>
          <c:extLst>
            <c:ext xmlns:c16="http://schemas.microsoft.com/office/drawing/2014/chart" uri="{C3380CC4-5D6E-409C-BE32-E72D297353CC}">
              <c16:uniqueId val="{00000000-3044-4D01-BD59-D34EC4F52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725328"/>
        <c:axId val="661725720"/>
      </c:lineChart>
      <c:catAx>
        <c:axId val="661725328"/>
        <c:scaling>
          <c:orientation val="minMax"/>
        </c:scaling>
        <c:delete val="0"/>
        <c:axPos val="b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800" b="1"/>
            </a:pPr>
            <a:endParaRPr lang="en-US"/>
          </a:p>
        </c:txPr>
        <c:crossAx val="661725720"/>
        <c:crosses val="autoZero"/>
        <c:auto val="1"/>
        <c:lblAlgn val="ctr"/>
        <c:lblOffset val="100"/>
        <c:noMultiLvlLbl val="0"/>
      </c:catAx>
      <c:valAx>
        <c:axId val="661725720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  <a:prstDash val="sysDot"/>
            </a:ln>
          </c:spPr>
        </c:majorGridlines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66172532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64226182253474E-3"/>
          <c:y val="5.146198830409357E-2"/>
          <c:w val="0.88387558842594072"/>
          <c:h val="0.80095077588985586"/>
        </c:manualLayout>
      </c:layout>
      <c:lineChart>
        <c:grouping val="standard"/>
        <c:varyColors val="0"/>
        <c:ser>
          <c:idx val="0"/>
          <c:order val="0"/>
          <c:tx>
            <c:strRef>
              <c:f>'Scenario Analysis'!$B$43</c:f>
              <c:strCache>
                <c:ptCount val="1"/>
                <c:pt idx="0">
                  <c:v>Theo. Price</c:v>
                </c:pt>
              </c:strCache>
            </c:strRef>
          </c:tx>
          <c:spPr>
            <a:ln w="25400"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'Scenario Analysis'!$C$34:$M$34</c:f>
              <c:numCache>
                <c:formatCode>General</c:formatCode>
                <c:ptCount val="11"/>
                <c:pt idx="0">
                  <c:v>-25</c:v>
                </c:pt>
                <c:pt idx="1">
                  <c:v>-20</c:v>
                </c:pt>
                <c:pt idx="2">
                  <c:v>-15</c:v>
                </c:pt>
                <c:pt idx="3">
                  <c:v>-10</c:v>
                </c:pt>
                <c:pt idx="4">
                  <c:v>-5</c:v>
                </c:pt>
                <c:pt idx="5">
                  <c:v>0</c:v>
                </c:pt>
                <c:pt idx="6">
                  <c:v>5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  <c:pt idx="10">
                  <c:v>25</c:v>
                </c:pt>
              </c:numCache>
            </c:numRef>
          </c:cat>
          <c:val>
            <c:numRef>
              <c:f>'Scenario Analysis'!$C$43:$M$43</c:f>
              <c:numCache>
                <c:formatCode>#,##0.000</c:formatCode>
                <c:ptCount val="11"/>
                <c:pt idx="0">
                  <c:v>96.588179566541157</c:v>
                </c:pt>
                <c:pt idx="1">
                  <c:v>96.588179566541072</c:v>
                </c:pt>
                <c:pt idx="2">
                  <c:v>96.588188012203915</c:v>
                </c:pt>
                <c:pt idx="3">
                  <c:v>96.588213175389811</c:v>
                </c:pt>
                <c:pt idx="4">
                  <c:v>96.588284478009854</c:v>
                </c:pt>
                <c:pt idx="5">
                  <c:v>96.58847234451855</c:v>
                </c:pt>
                <c:pt idx="6">
                  <c:v>96.588924046477288</c:v>
                </c:pt>
                <c:pt idx="7">
                  <c:v>96.590045961763778</c:v>
                </c:pt>
                <c:pt idx="8">
                  <c:v>96.591967063929275</c:v>
                </c:pt>
                <c:pt idx="9">
                  <c:v>96.595855403431401</c:v>
                </c:pt>
                <c:pt idx="10">
                  <c:v>96.602909274259176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FF-4CDE-846B-E4A1A4B43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727288"/>
        <c:axId val="661727680"/>
      </c:lineChart>
      <c:catAx>
        <c:axId val="661727288"/>
        <c:scaling>
          <c:orientation val="minMax"/>
        </c:scaling>
        <c:delete val="0"/>
        <c:axPos val="b"/>
        <c:majorGridlines>
          <c:spPr>
            <a:ln w="3175">
              <a:prstDash val="sysDash"/>
            </a:ln>
          </c:spPr>
        </c:majorGridlines>
        <c:title>
          <c:tx>
            <c:strRef>
              <c:f>'Scenario Analysis'!$B$34</c:f>
              <c:strCache>
                <c:ptCount val="1"/>
                <c:pt idx="0">
                  <c:v>Price Shift (%)</c:v>
                </c:pt>
              </c:strCache>
            </c:strRef>
          </c:tx>
          <c:layout>
            <c:manualLayout>
              <c:xMode val="edge"/>
              <c:yMode val="edge"/>
              <c:x val="0.49566004654276513"/>
              <c:y val="0.91950849564857018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800" b="1"/>
            </a:pPr>
            <a:endParaRPr lang="en-US"/>
          </a:p>
        </c:txPr>
        <c:crossAx val="661727680"/>
        <c:crosses val="autoZero"/>
        <c:auto val="1"/>
        <c:lblAlgn val="ctr"/>
        <c:lblOffset val="100"/>
        <c:noMultiLvlLbl val="0"/>
      </c:catAx>
      <c:valAx>
        <c:axId val="661727680"/>
        <c:scaling>
          <c:orientation val="minMax"/>
        </c:scaling>
        <c:delete val="0"/>
        <c:axPos val="r"/>
        <c:majorGridlines>
          <c:spPr>
            <a:ln w="3175">
              <a:prstDash val="sysDash"/>
            </a:ln>
          </c:spPr>
        </c:majorGridlines>
        <c:title>
          <c:tx>
            <c:strRef>
              <c:f>'Scenario Analysis'!$B$43</c:f>
              <c:strCache>
                <c:ptCount val="1"/>
                <c:pt idx="0">
                  <c:v>Theo. Price</c:v>
                </c:pt>
              </c:strCache>
            </c:strRef>
          </c:tx>
          <c:layout>
            <c:manualLayout>
              <c:xMode val="edge"/>
              <c:yMode val="edge"/>
              <c:x val="0.96751229982891818"/>
              <c:y val="0.34966818621356538"/>
            </c:manualLayout>
          </c:layout>
          <c:overlay val="0"/>
          <c:txPr>
            <a:bodyPr rot="5400000" vert="horz"/>
            <a:lstStyle/>
            <a:p>
              <a:pPr>
                <a:defRPr/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en-US"/>
          </a:p>
        </c:txPr>
        <c:crossAx val="661727288"/>
        <c:crosses val="max"/>
        <c:crossBetween val="midCat"/>
      </c:valAx>
    </c:plotArea>
    <c:plotVisOnly val="0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jpe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50</xdr:row>
      <xdr:rowOff>0</xdr:rowOff>
    </xdr:from>
    <xdr:to>
      <xdr:col>9</xdr:col>
      <xdr:colOff>9525</xdr:colOff>
      <xdr:row>72</xdr:row>
      <xdr:rowOff>0</xdr:rowOff>
    </xdr:to>
    <xdr:graphicFrame macro="">
      <xdr:nvGraphicFramePr>
        <xdr:cNvPr id="625897" name="Chart 1">
          <a:extLst>
            <a:ext uri="{FF2B5EF4-FFF2-40B4-BE49-F238E27FC236}">
              <a16:creationId xmlns:a16="http://schemas.microsoft.com/office/drawing/2014/main" id="{00000000-0008-0000-0100-0000E98C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9</xdr:col>
      <xdr:colOff>9525</xdr:colOff>
      <xdr:row>110</xdr:row>
      <xdr:rowOff>0</xdr:rowOff>
    </xdr:to>
    <xdr:graphicFrame macro="">
      <xdr:nvGraphicFramePr>
        <xdr:cNvPr id="625898" name="Chart 3">
          <a:extLst>
            <a:ext uri="{FF2B5EF4-FFF2-40B4-BE49-F238E27FC236}">
              <a16:creationId xmlns:a16="http://schemas.microsoft.com/office/drawing/2014/main" id="{00000000-0008-0000-0100-0000EA8C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9</xdr:col>
      <xdr:colOff>9525</xdr:colOff>
      <xdr:row>135</xdr:row>
      <xdr:rowOff>0</xdr:rowOff>
    </xdr:to>
    <xdr:graphicFrame macro="">
      <xdr:nvGraphicFramePr>
        <xdr:cNvPr id="625899" name="Chart 4">
          <a:extLst>
            <a:ext uri="{FF2B5EF4-FFF2-40B4-BE49-F238E27FC236}">
              <a16:creationId xmlns:a16="http://schemas.microsoft.com/office/drawing/2014/main" id="{00000000-0008-0000-0100-0000EB8C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138</xdr:row>
      <xdr:rowOff>0</xdr:rowOff>
    </xdr:from>
    <xdr:to>
      <xdr:col>9</xdr:col>
      <xdr:colOff>9525</xdr:colOff>
      <xdr:row>160</xdr:row>
      <xdr:rowOff>0</xdr:rowOff>
    </xdr:to>
    <xdr:graphicFrame macro="">
      <xdr:nvGraphicFramePr>
        <xdr:cNvPr id="625900" name="Chart 5">
          <a:extLst>
            <a:ext uri="{FF2B5EF4-FFF2-40B4-BE49-F238E27FC236}">
              <a16:creationId xmlns:a16="http://schemas.microsoft.com/office/drawing/2014/main" id="{00000000-0008-0000-0100-0000EC8C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14</xdr:row>
          <xdr:rowOff>76200</xdr:rowOff>
        </xdr:from>
        <xdr:to>
          <xdr:col>11</xdr:col>
          <xdr:colOff>1200150</xdr:colOff>
          <xdr:row>16</xdr:row>
          <xdr:rowOff>0</xdr:rowOff>
        </xdr:to>
        <xdr:sp macro="" textlink="">
          <xdr:nvSpPr>
            <xdr:cNvPr id="2125" name="mpPricingAnalysis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769925</xdr:colOff>
      <xdr:row>1</xdr:row>
      <xdr:rowOff>0</xdr:rowOff>
    </xdr:from>
    <xdr:to>
      <xdr:col>18</xdr:col>
      <xdr:colOff>457505</xdr:colOff>
      <xdr:row>3</xdr:row>
      <xdr:rowOff>185928</xdr:rowOff>
    </xdr:to>
    <xdr:sp macro="" textlink="">
      <xdr:nvSpPr>
        <xdr:cNvPr id="13" name="BannerTitl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Convertible Bond Monitor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13</xdr:col>
      <xdr:colOff>0</xdr:colOff>
      <xdr:row>31</xdr:row>
      <xdr:rowOff>0</xdr:rowOff>
    </xdr:to>
    <xdr:graphicFrame macro="">
      <xdr:nvGraphicFramePr>
        <xdr:cNvPr id="129664" name="Chart 1">
          <a:extLst>
            <a:ext uri="{FF2B5EF4-FFF2-40B4-BE49-F238E27FC236}">
              <a16:creationId xmlns:a16="http://schemas.microsoft.com/office/drawing/2014/main" id="{00000000-0008-0000-0200-000080FA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617525</xdr:colOff>
      <xdr:row>1</xdr:row>
      <xdr:rowOff>0</xdr:rowOff>
    </xdr:from>
    <xdr:to>
      <xdr:col>15</xdr:col>
      <xdr:colOff>181280</xdr:colOff>
      <xdr:row>3</xdr:row>
      <xdr:rowOff>185928</xdr:rowOff>
    </xdr:to>
    <xdr:sp macro="" textlink="">
      <xdr:nvSpPr>
        <xdr:cNvPr id="7" name="BannerTitl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Convertible Bond Monitor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47</xdr:row>
      <xdr:rowOff>0</xdr:rowOff>
    </xdr:from>
    <xdr:to>
      <xdr:col>11</xdr:col>
      <xdr:colOff>382760</xdr:colOff>
      <xdr:row>65</xdr:row>
      <xdr:rowOff>161926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162050" y="8686800"/>
          <a:ext cx="4659485" cy="3590926"/>
          <a:chOff x="5762625" y="10391775"/>
          <a:chExt cx="4659485" cy="3590926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pSpPr/>
        </xdr:nvGrpSpPr>
        <xdr:grpSpPr>
          <a:xfrm>
            <a:off x="5762625" y="10391775"/>
            <a:ext cx="4659485" cy="3590926"/>
            <a:chOff x="5762625" y="10391775"/>
            <a:chExt cx="4659485" cy="3590926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5762625" y="10391775"/>
              <a:ext cx="4659485" cy="3590926"/>
              <a:chOff x="5762625" y="10391775"/>
              <a:chExt cx="4659485" cy="3590926"/>
            </a:xfrm>
          </xdr:grpSpPr>
          <xdr:pic>
            <xdr:nvPicPr>
              <xdr:cNvPr id="2" name="Picture 1">
                <a:extLst>
                  <a:ext uri="{FF2B5EF4-FFF2-40B4-BE49-F238E27FC236}">
                    <a16:creationId xmlns:a16="http://schemas.microsoft.com/office/drawing/2014/main" id="{00000000-0008-0000-0300-00000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5772150" y="10391775"/>
                <a:ext cx="4649960" cy="3590926"/>
              </a:xfrm>
              <a:prstGeom prst="rect">
                <a:avLst/>
              </a:prstGeom>
            </xdr:spPr>
          </xdr:pic>
          <xdr:sp macro="" textlink="">
            <xdr:nvSpPr>
              <xdr:cNvPr id="39" name="Rectangle 38">
                <a:extLst>
                  <a:ext uri="{FF2B5EF4-FFF2-40B4-BE49-F238E27FC236}">
                    <a16:creationId xmlns:a16="http://schemas.microsoft.com/office/drawing/2014/main" id="{00000000-0008-0000-0300-000027000000}"/>
                  </a:ext>
                </a:extLst>
              </xdr:cNvPr>
              <xdr:cNvSpPr/>
            </xdr:nvSpPr>
            <xdr:spPr>
              <a:xfrm>
                <a:off x="5762625" y="10972800"/>
                <a:ext cx="4648200" cy="314325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</xdr:grpSp>
        <xdr:cxnSp macro="">
          <xdr:nvCxnSpPr>
            <xdr:cNvPr id="33" name="DbgGradArrow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CxnSpPr/>
          </xdr:nvCxnSpPr>
          <xdr:spPr bwMode="auto">
            <a:xfrm>
              <a:off x="7820025" y="11296650"/>
              <a:ext cx="0" cy="819150"/>
            </a:xfrm>
            <a:prstGeom prst="straightConnector1">
              <a:avLst/>
            </a:prstGeom>
            <a:ln w="12700">
              <a:gradFill>
                <a:gsLst>
                  <a:gs pos="0">
                    <a:schemeClr val="tx2"/>
                  </a:gs>
                  <a:gs pos="50000">
                    <a:srgbClr val="FF0000"/>
                  </a:gs>
                </a:gsLst>
                <a:lin ang="5400000" scaled="0"/>
              </a:gradFill>
              <a:tailEnd type="arrow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4" name="DbgShadowBox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 bwMode="auto">
            <a:xfrm>
              <a:off x="6429375" y="12096749"/>
              <a:ext cx="3409949" cy="619125"/>
            </a:xfrm>
            <a:prstGeom prst="rect">
              <a:avLst/>
            </a:prstGeom>
            <a:solidFill>
              <a:schemeClr val="bg1"/>
            </a:solidFill>
            <a:ln w="1270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l" rtl="0">
                <a:defRPr sz="1000"/>
              </a:pPr>
              <a:r>
                <a:rPr lang="en-US" sz="1050" b="0" i="0" u="none" strike="noStrike" baseline="0">
                  <a:solidFill>
                    <a:srgbClr val="1F497D"/>
                  </a:solidFill>
                  <a:latin typeface="+mn-lt"/>
                </a:rPr>
                <a:t>Enter your own assumptions to evaluate the data below. The default values are taken directly from the OVCV function settings.</a:t>
              </a:r>
            </a:p>
          </xdr:txBody>
        </xdr:sp>
      </xdr:grp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/>
        </xdr:nvSpPr>
        <xdr:spPr>
          <a:xfrm>
            <a:off x="6257926" y="10782300"/>
            <a:ext cx="1181100" cy="1143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</xdr:grpSp>
    <xdr:clientData/>
  </xdr:twoCellAnchor>
  <xdr:twoCellAnchor editAs="oneCell">
    <xdr:from>
      <xdr:col>3</xdr:col>
      <xdr:colOff>9525</xdr:colOff>
      <xdr:row>22</xdr:row>
      <xdr:rowOff>9525</xdr:rowOff>
    </xdr:from>
    <xdr:to>
      <xdr:col>13</xdr:col>
      <xdr:colOff>70374</xdr:colOff>
      <xdr:row>36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100" y="3933825"/>
          <a:ext cx="5394849" cy="2752725"/>
        </a:xfrm>
        <a:prstGeom prst="rect">
          <a:avLst/>
        </a:prstGeom>
      </xdr:spPr>
    </xdr:pic>
    <xdr:clientData/>
  </xdr:twoCellAnchor>
  <xdr:twoCellAnchor>
    <xdr:from>
      <xdr:col>3</xdr:col>
      <xdr:colOff>400050</xdr:colOff>
      <xdr:row>19</xdr:row>
      <xdr:rowOff>161925</xdr:rowOff>
    </xdr:from>
    <xdr:to>
      <xdr:col>6</xdr:col>
      <xdr:colOff>361950</xdr:colOff>
      <xdr:row>28</xdr:row>
      <xdr:rowOff>85725</xdr:rowOff>
    </xdr:to>
    <xdr:cxnSp macro="">
      <xdr:nvCxnSpPr>
        <xdr:cNvPr id="27" name="DbgGradArrow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 bwMode="auto">
        <a:xfrm flipH="1">
          <a:off x="1571625" y="3514725"/>
          <a:ext cx="1562100" cy="163830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15</xdr:row>
      <xdr:rowOff>161925</xdr:rowOff>
    </xdr:from>
    <xdr:to>
      <xdr:col>10</xdr:col>
      <xdr:colOff>20942</xdr:colOff>
      <xdr:row>19</xdr:row>
      <xdr:rowOff>161925</xdr:rowOff>
    </xdr:to>
    <xdr:sp macro="" textlink="">
      <xdr:nvSpPr>
        <xdr:cNvPr id="29" name="DbgShadowBox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2219325" y="2752725"/>
          <a:ext cx="2706992" cy="762000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Add CUSIP or Bloomberg Identifier and the corresponding formulas will fill in automatically</a:t>
          </a:r>
        </a:p>
      </xdr:txBody>
    </xdr:sp>
    <xdr:clientData/>
  </xdr:twoCellAnchor>
  <xdr:twoCellAnchor>
    <xdr:from>
      <xdr:col>11</xdr:col>
      <xdr:colOff>57150</xdr:colOff>
      <xdr:row>30</xdr:row>
      <xdr:rowOff>52387</xdr:rowOff>
    </xdr:from>
    <xdr:to>
      <xdr:col>13</xdr:col>
      <xdr:colOff>438150</xdr:colOff>
      <xdr:row>30</xdr:row>
      <xdr:rowOff>66675</xdr:rowOff>
    </xdr:to>
    <xdr:cxnSp macro="">
      <xdr:nvCxnSpPr>
        <xdr:cNvPr id="30" name="DbgGradArrow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 bwMode="auto">
        <a:xfrm flipH="1">
          <a:off x="5495925" y="5500687"/>
          <a:ext cx="1447800" cy="14288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28</xdr:row>
      <xdr:rowOff>28574</xdr:rowOff>
    </xdr:from>
    <xdr:to>
      <xdr:col>18</xdr:col>
      <xdr:colOff>104775</xdr:colOff>
      <xdr:row>34</xdr:row>
      <xdr:rowOff>47625</xdr:rowOff>
    </xdr:to>
    <xdr:sp macro="" textlink="">
      <xdr:nvSpPr>
        <xdr:cNvPr id="32" name="DbgShadowBox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6943725" y="5095874"/>
          <a:ext cx="2333625" cy="1162051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Use this area to enter custom assumptions to have the model be evaluated using the inputs and calculate fair value, implied spread, implied volatility, etc.</a:t>
          </a:r>
        </a:p>
      </xdr:txBody>
    </xdr:sp>
    <xdr:clientData/>
  </xdr:twoCellAnchor>
  <xdr:twoCellAnchor>
    <xdr:from>
      <xdr:col>5</xdr:col>
      <xdr:colOff>28581</xdr:colOff>
      <xdr:row>45</xdr:row>
      <xdr:rowOff>161925</xdr:rowOff>
    </xdr:from>
    <xdr:to>
      <xdr:col>5</xdr:col>
      <xdr:colOff>28581</xdr:colOff>
      <xdr:row>49</xdr:row>
      <xdr:rowOff>8962</xdr:rowOff>
    </xdr:to>
    <xdr:cxnSp macro="">
      <xdr:nvCxnSpPr>
        <xdr:cNvPr id="40" name="DbgGradArrow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 bwMode="auto">
        <a:xfrm flipH="1">
          <a:off x="2266956" y="8467725"/>
          <a:ext cx="0" cy="609037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42</xdr:row>
      <xdr:rowOff>76200</xdr:rowOff>
    </xdr:from>
    <xdr:to>
      <xdr:col>9</xdr:col>
      <xdr:colOff>28575</xdr:colOff>
      <xdr:row>45</xdr:row>
      <xdr:rowOff>152400</xdr:rowOff>
    </xdr:to>
    <xdr:sp macro="" textlink="">
      <xdr:nvSpPr>
        <xdr:cNvPr id="43" name="DbgShadowBox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 bwMode="auto">
        <a:xfrm>
          <a:off x="1295400" y="7810500"/>
          <a:ext cx="3105150" cy="647700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Select a bond that you would like to evaluate. The list will be populated from the  bonds listed on the Portfolio Analysis tab.</a:t>
          </a:r>
        </a:p>
      </xdr:txBody>
    </xdr:sp>
    <xdr:clientData/>
  </xdr:twoCellAnchor>
  <xdr:twoCellAnchor editAs="oneCell">
    <xdr:from>
      <xdr:col>12</xdr:col>
      <xdr:colOff>228600</xdr:colOff>
      <xdr:row>47</xdr:row>
      <xdr:rowOff>9525</xdr:rowOff>
    </xdr:from>
    <xdr:to>
      <xdr:col>18</xdr:col>
      <xdr:colOff>104775</xdr:colOff>
      <xdr:row>67</xdr:row>
      <xdr:rowOff>133350</xdr:rowOff>
    </xdr:to>
    <xdr:pic>
      <xdr:nvPicPr>
        <xdr:cNvPr id="594724" name="Picture 594723">
          <a:extLst>
            <a:ext uri="{FF2B5EF4-FFF2-40B4-BE49-F238E27FC236}">
              <a16:creationId xmlns:a16="http://schemas.microsoft.com/office/drawing/2014/main" id="{00000000-0008-0000-0300-00002413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00775" y="8696325"/>
          <a:ext cx="3076575" cy="3933825"/>
        </a:xfrm>
        <a:prstGeom prst="rect">
          <a:avLst/>
        </a:prstGeom>
      </xdr:spPr>
    </xdr:pic>
    <xdr:clientData/>
  </xdr:twoCellAnchor>
  <xdr:twoCellAnchor>
    <xdr:from>
      <xdr:col>13</xdr:col>
      <xdr:colOff>64783</xdr:colOff>
      <xdr:row>40</xdr:row>
      <xdr:rowOff>152400</xdr:rowOff>
    </xdr:from>
    <xdr:to>
      <xdr:col>18</xdr:col>
      <xdr:colOff>104775</xdr:colOff>
      <xdr:row>44</xdr:row>
      <xdr:rowOff>9525</xdr:rowOff>
    </xdr:to>
    <xdr:sp macro="" textlink="">
      <xdr:nvSpPr>
        <xdr:cNvPr id="52" name="DbgShadowBox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 bwMode="auto">
        <a:xfrm>
          <a:off x="6570358" y="7505700"/>
          <a:ext cx="2706992" cy="619125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Unhide hidden columns to see the corresponding Bloomberg mnemonic that is used in the API formula.</a:t>
          </a:r>
        </a:p>
      </xdr:txBody>
    </xdr:sp>
    <xdr:clientData/>
  </xdr:twoCellAnchor>
  <xdr:twoCellAnchor>
    <xdr:from>
      <xdr:col>15</xdr:col>
      <xdr:colOff>351479</xdr:colOff>
      <xdr:row>44</xdr:row>
      <xdr:rowOff>9525</xdr:rowOff>
    </xdr:from>
    <xdr:to>
      <xdr:col>15</xdr:col>
      <xdr:colOff>352425</xdr:colOff>
      <xdr:row>58</xdr:row>
      <xdr:rowOff>66675</xdr:rowOff>
    </xdr:to>
    <xdr:cxnSp macro="">
      <xdr:nvCxnSpPr>
        <xdr:cNvPr id="53" name="DbgGradArrow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>
          <a:stCxn id="52" idx="2"/>
        </xdr:cNvCxnSpPr>
      </xdr:nvCxnSpPr>
      <xdr:spPr bwMode="auto">
        <a:xfrm>
          <a:off x="7923854" y="8124825"/>
          <a:ext cx="946" cy="272415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495300</xdr:colOff>
      <xdr:row>72</xdr:row>
      <xdr:rowOff>0</xdr:rowOff>
    </xdr:from>
    <xdr:to>
      <xdr:col>10</xdr:col>
      <xdr:colOff>457200</xdr:colOff>
      <xdr:row>88</xdr:row>
      <xdr:rowOff>55960</xdr:rowOff>
    </xdr:to>
    <xdr:pic>
      <xdr:nvPicPr>
        <xdr:cNvPr id="594732" name="Picture 594731">
          <a:extLst>
            <a:ext uri="{FF2B5EF4-FFF2-40B4-BE49-F238E27FC236}">
              <a16:creationId xmlns:a16="http://schemas.microsoft.com/office/drawing/2014/main" id="{00000000-0008-0000-0300-00002C13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3475" y="13449300"/>
          <a:ext cx="4229100" cy="3103960"/>
        </a:xfrm>
        <a:prstGeom prst="rect">
          <a:avLst/>
        </a:prstGeom>
      </xdr:spPr>
    </xdr:pic>
    <xdr:clientData/>
  </xdr:twoCellAnchor>
  <xdr:twoCellAnchor>
    <xdr:from>
      <xdr:col>11</xdr:col>
      <xdr:colOff>209551</xdr:colOff>
      <xdr:row>75</xdr:row>
      <xdr:rowOff>9525</xdr:rowOff>
    </xdr:from>
    <xdr:to>
      <xdr:col>18</xdr:col>
      <xdr:colOff>104775</xdr:colOff>
      <xdr:row>79</xdr:row>
      <xdr:rowOff>85725</xdr:rowOff>
    </xdr:to>
    <xdr:sp macro="" textlink="">
      <xdr:nvSpPr>
        <xdr:cNvPr id="62" name="DbgShadowBox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 bwMode="auto">
        <a:xfrm>
          <a:off x="5648326" y="14030325"/>
          <a:ext cx="3629024" cy="838200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The scenario analysis tab allows the user to shock certain items in the convertible bond model, and show the different levels the theoretical price and other items would be.</a:t>
          </a:r>
        </a:p>
      </xdr:txBody>
    </xdr:sp>
    <xdr:clientData/>
  </xdr:twoCellAnchor>
  <xdr:twoCellAnchor editAs="absolute">
    <xdr:from>
      <xdr:col>1</xdr:col>
      <xdr:colOff>9525</xdr:colOff>
      <xdr:row>1</xdr:row>
      <xdr:rowOff>0</xdr:rowOff>
    </xdr:from>
    <xdr:to>
      <xdr:col>4</xdr:col>
      <xdr:colOff>230505</xdr:colOff>
      <xdr:row>3</xdr:row>
      <xdr:rowOff>182880</xdr:rowOff>
    </xdr:to>
    <xdr:pic>
      <xdr:nvPicPr>
        <xdr:cNvPr id="4" name="Bloomber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4</xdr:col>
      <xdr:colOff>207950</xdr:colOff>
      <xdr:row>1</xdr:row>
      <xdr:rowOff>0</xdr:rowOff>
    </xdr:from>
    <xdr:to>
      <xdr:col>21</xdr:col>
      <xdr:colOff>238430</xdr:colOff>
      <xdr:row>3</xdr:row>
      <xdr:rowOff>185928</xdr:rowOff>
    </xdr:to>
    <xdr:sp macro="" textlink="">
      <xdr:nvSpPr>
        <xdr:cNvPr id="26" name="BannerTitle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Convertible Bond Monitor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Port"/>
  <dimension ref="B1:AW353"/>
  <sheetViews>
    <sheetView showGridLines="0" tabSelected="1" zoomScale="80" zoomScaleNormal="80" workbookViewId="0">
      <pane xSplit="3" ySplit="7" topLeftCell="D322" activePane="bottomRight" state="frozen"/>
      <selection pane="topRight" activeCell="D1" sqref="D1"/>
      <selection pane="bottomLeft" activeCell="A8" sqref="A8"/>
      <selection pane="bottomRight" activeCell="O330" sqref="O330"/>
    </sheetView>
  </sheetViews>
  <sheetFormatPr defaultRowHeight="15" customHeight="1" x14ac:dyDescent="0.2"/>
  <cols>
    <col min="1" max="1" width="1.83203125" customWidth="1"/>
    <col min="2" max="2" width="24.1640625" bestFit="1" customWidth="1"/>
    <col min="3" max="3" width="27.1640625" bestFit="1" customWidth="1"/>
    <col min="4" max="4" width="11.33203125" customWidth="1"/>
    <col min="5" max="5" width="19.5" bestFit="1" customWidth="1"/>
    <col min="6" max="6" width="28" bestFit="1" customWidth="1"/>
    <col min="7" max="7" width="19.83203125" bestFit="1" customWidth="1"/>
    <col min="8" max="8" width="32.6640625" bestFit="1" customWidth="1"/>
    <col min="9" max="9" width="18.1640625" bestFit="1" customWidth="1"/>
    <col min="10" max="10" width="29.1640625" bestFit="1" customWidth="1"/>
    <col min="11" max="11" width="22.83203125" bestFit="1" customWidth="1"/>
    <col min="12" max="12" width="31" bestFit="1" customWidth="1"/>
    <col min="13" max="13" width="27" bestFit="1" customWidth="1"/>
    <col min="14" max="14" width="24" customWidth="1"/>
    <col min="15" max="17" width="25" bestFit="1" customWidth="1"/>
    <col min="18" max="18" width="20.1640625" bestFit="1" customWidth="1"/>
    <col min="19" max="23" width="25" bestFit="1" customWidth="1"/>
    <col min="24" max="24" width="28.83203125" bestFit="1" customWidth="1"/>
    <col min="25" max="25" width="30.1640625" bestFit="1" customWidth="1"/>
    <col min="26" max="26" width="26.83203125" bestFit="1" customWidth="1"/>
    <col min="27" max="27" width="33.1640625" bestFit="1" customWidth="1"/>
    <col min="28" max="28" width="25" bestFit="1" customWidth="1"/>
    <col min="29" max="29" width="30" bestFit="1" customWidth="1"/>
    <col min="30" max="34" width="25" bestFit="1" customWidth="1"/>
    <col min="35" max="36" width="30.5" bestFit="1" customWidth="1"/>
    <col min="37" max="37" width="29.33203125" bestFit="1" customWidth="1"/>
    <col min="38" max="49" width="25" bestFit="1" customWidth="1"/>
  </cols>
  <sheetData>
    <row r="1" spans="2:49" s="132" customFormat="1" ht="11.25" x14ac:dyDescent="0.2">
      <c r="C1" s="132" t="s">
        <v>0</v>
      </c>
      <c r="E1" s="131" t="s">
        <v>17</v>
      </c>
      <c r="F1" s="131" t="s">
        <v>16</v>
      </c>
      <c r="G1" s="131" t="s">
        <v>13</v>
      </c>
      <c r="H1" s="131" t="s">
        <v>288</v>
      </c>
      <c r="I1" s="131" t="s">
        <v>14</v>
      </c>
      <c r="J1" s="131" t="s">
        <v>20</v>
      </c>
      <c r="K1" s="131" t="s">
        <v>15</v>
      </c>
      <c r="L1" s="131" t="s">
        <v>25</v>
      </c>
      <c r="M1" s="131" t="s">
        <v>18</v>
      </c>
      <c r="N1" s="131"/>
      <c r="O1" s="131" t="s">
        <v>2</v>
      </c>
      <c r="P1" s="132" t="s">
        <v>3</v>
      </c>
      <c r="Q1" s="132" t="s">
        <v>4</v>
      </c>
      <c r="R1" s="132" t="s">
        <v>12</v>
      </c>
      <c r="S1" s="132" t="s">
        <v>37</v>
      </c>
      <c r="T1" s="132" t="s">
        <v>38</v>
      </c>
      <c r="U1" s="132" t="s">
        <v>39</v>
      </c>
      <c r="V1" s="132" t="s">
        <v>40</v>
      </c>
      <c r="W1" s="132" t="s">
        <v>41</v>
      </c>
      <c r="X1" s="132" t="s">
        <v>42</v>
      </c>
      <c r="Y1" s="132" t="s">
        <v>43</v>
      </c>
      <c r="Z1" s="132" t="s">
        <v>44</v>
      </c>
      <c r="AA1" s="132" t="s">
        <v>45</v>
      </c>
      <c r="AB1" s="132" t="s">
        <v>47</v>
      </c>
      <c r="AC1" s="132" t="s">
        <v>48</v>
      </c>
      <c r="AE1" s="132" t="s">
        <v>52</v>
      </c>
      <c r="AF1" s="132" t="s">
        <v>58</v>
      </c>
      <c r="AG1" s="132" t="s">
        <v>59</v>
      </c>
      <c r="AH1" s="132" t="s">
        <v>53</v>
      </c>
      <c r="AI1" s="132" t="s">
        <v>56</v>
      </c>
      <c r="AJ1" s="132" t="s">
        <v>61</v>
      </c>
      <c r="AK1" s="132" t="s">
        <v>63</v>
      </c>
      <c r="AL1" s="132" t="s">
        <v>65</v>
      </c>
      <c r="AM1" s="132" t="s">
        <v>67</v>
      </c>
      <c r="AN1" s="132" t="s">
        <v>69</v>
      </c>
      <c r="AO1" s="132" t="s">
        <v>71</v>
      </c>
      <c r="AP1" s="132" t="s">
        <v>75</v>
      </c>
      <c r="AQ1" s="132" t="s">
        <v>76</v>
      </c>
      <c r="AR1" s="132" t="s">
        <v>77</v>
      </c>
      <c r="AS1" s="132" t="s">
        <v>80</v>
      </c>
      <c r="AT1" s="132" t="s">
        <v>81</v>
      </c>
      <c r="AU1" s="132" t="s">
        <v>85</v>
      </c>
      <c r="AV1" s="132" t="s">
        <v>86</v>
      </c>
      <c r="AW1" s="132" t="s">
        <v>87</v>
      </c>
    </row>
    <row r="3" spans="2:49" ht="11.25" x14ac:dyDescent="0.2"/>
    <row r="4" spans="2:49" ht="11.25" x14ac:dyDescent="0.2"/>
    <row r="5" spans="2:49" ht="12" thickBot="1" x14ac:dyDescent="0.25"/>
    <row r="6" spans="2:49" x14ac:dyDescent="0.25">
      <c r="B6" s="57"/>
      <c r="C6" s="58" t="s">
        <v>329</v>
      </c>
      <c r="D6" s="59"/>
      <c r="E6" s="130"/>
      <c r="F6" s="130"/>
      <c r="G6" s="130"/>
      <c r="H6" s="130"/>
      <c r="I6" s="130"/>
      <c r="J6" s="130"/>
      <c r="K6" s="130"/>
      <c r="L6" s="130"/>
      <c r="M6" s="130"/>
      <c r="N6" s="59" t="s">
        <v>89</v>
      </c>
      <c r="O6" s="60" t="s">
        <v>329</v>
      </c>
      <c r="P6" s="61" t="s">
        <v>329</v>
      </c>
      <c r="Q6" s="61" t="s">
        <v>329</v>
      </c>
      <c r="R6" s="62" t="s">
        <v>1013</v>
      </c>
      <c r="S6" s="63" t="s">
        <v>329</v>
      </c>
      <c r="T6" s="64" t="s">
        <v>329</v>
      </c>
      <c r="U6" s="64" t="s">
        <v>329</v>
      </c>
      <c r="V6" s="64" t="s">
        <v>329</v>
      </c>
      <c r="W6" s="64" t="s">
        <v>329</v>
      </c>
      <c r="X6" s="64" t="s">
        <v>329</v>
      </c>
      <c r="Y6" s="64" t="s">
        <v>329</v>
      </c>
      <c r="Z6" s="64" t="s">
        <v>329</v>
      </c>
      <c r="AA6" s="64" t="s">
        <v>329</v>
      </c>
      <c r="AB6" s="64" t="s">
        <v>329</v>
      </c>
      <c r="AC6" s="64" t="s">
        <v>329</v>
      </c>
      <c r="AD6" s="65" t="s">
        <v>329</v>
      </c>
      <c r="AE6" s="64" t="s">
        <v>329</v>
      </c>
      <c r="AF6" s="64" t="s">
        <v>329</v>
      </c>
      <c r="AG6" s="64" t="s">
        <v>329</v>
      </c>
      <c r="AH6" s="64" t="s">
        <v>329</v>
      </c>
      <c r="AI6" s="64" t="s">
        <v>329</v>
      </c>
      <c r="AJ6" s="64" t="s">
        <v>329</v>
      </c>
      <c r="AK6" s="64" t="s">
        <v>329</v>
      </c>
      <c r="AL6" s="64" t="s">
        <v>329</v>
      </c>
      <c r="AM6" s="64" t="s">
        <v>329</v>
      </c>
      <c r="AN6" s="64" t="s">
        <v>329</v>
      </c>
      <c r="AO6" s="64" t="s">
        <v>329</v>
      </c>
      <c r="AP6" s="64" t="s">
        <v>329</v>
      </c>
      <c r="AQ6" s="64" t="s">
        <v>329</v>
      </c>
      <c r="AR6" s="64" t="s">
        <v>329</v>
      </c>
      <c r="AS6" s="64" t="s">
        <v>329</v>
      </c>
      <c r="AT6" s="64" t="s">
        <v>329</v>
      </c>
      <c r="AU6" s="64" t="s">
        <v>329</v>
      </c>
      <c r="AV6" s="64" t="s">
        <v>329</v>
      </c>
      <c r="AW6" s="66" t="s">
        <v>329</v>
      </c>
    </row>
    <row r="7" spans="2:49" ht="89.25" thickBot="1" x14ac:dyDescent="0.25">
      <c r="B7" s="67" t="s">
        <v>8</v>
      </c>
      <c r="C7" s="68" t="s">
        <v>1</v>
      </c>
      <c r="D7" s="69" t="s">
        <v>10</v>
      </c>
      <c r="E7" s="69" t="s">
        <v>19</v>
      </c>
      <c r="F7" s="69" t="s">
        <v>9</v>
      </c>
      <c r="G7" s="69" t="s">
        <v>26</v>
      </c>
      <c r="H7" s="69" t="s">
        <v>290</v>
      </c>
      <c r="I7" s="69" t="s">
        <v>11</v>
      </c>
      <c r="J7" s="69" t="s">
        <v>22</v>
      </c>
      <c r="K7" s="69" t="s">
        <v>21</v>
      </c>
      <c r="L7" s="69" t="s">
        <v>24</v>
      </c>
      <c r="M7" s="69" t="s">
        <v>23</v>
      </c>
      <c r="N7" s="69" t="s">
        <v>88</v>
      </c>
      <c r="O7" s="68" t="s">
        <v>5</v>
      </c>
      <c r="P7" s="68" t="s">
        <v>6</v>
      </c>
      <c r="Q7" s="68" t="s">
        <v>7</v>
      </c>
      <c r="R7" s="70"/>
      <c r="S7" s="71" t="s">
        <v>28</v>
      </c>
      <c r="T7" s="71" t="s">
        <v>29</v>
      </c>
      <c r="U7" s="71" t="s">
        <v>30</v>
      </c>
      <c r="V7" s="71" t="s">
        <v>31</v>
      </c>
      <c r="W7" s="71" t="s">
        <v>32</v>
      </c>
      <c r="X7" s="71" t="s">
        <v>33</v>
      </c>
      <c r="Y7" s="71" t="s">
        <v>34</v>
      </c>
      <c r="Z7" s="71" t="s">
        <v>35</v>
      </c>
      <c r="AA7" s="71" t="s">
        <v>36</v>
      </c>
      <c r="AB7" s="72" t="s">
        <v>27</v>
      </c>
      <c r="AC7" s="72" t="s">
        <v>46</v>
      </c>
      <c r="AD7" s="72" t="s">
        <v>49</v>
      </c>
      <c r="AE7" s="72" t="s">
        <v>50</v>
      </c>
      <c r="AF7" s="72" t="s">
        <v>51</v>
      </c>
      <c r="AG7" s="72" t="s">
        <v>54</v>
      </c>
      <c r="AH7" s="72" t="s">
        <v>55</v>
      </c>
      <c r="AI7" s="72" t="s">
        <v>57</v>
      </c>
      <c r="AJ7" s="72" t="s">
        <v>60</v>
      </c>
      <c r="AK7" s="72" t="s">
        <v>62</v>
      </c>
      <c r="AL7" s="72" t="s">
        <v>64</v>
      </c>
      <c r="AM7" s="72" t="s">
        <v>66</v>
      </c>
      <c r="AN7" s="72" t="s">
        <v>68</v>
      </c>
      <c r="AO7" s="72" t="s">
        <v>70</v>
      </c>
      <c r="AP7" s="72" t="s">
        <v>72</v>
      </c>
      <c r="AQ7" s="72" t="s">
        <v>73</v>
      </c>
      <c r="AR7" s="72" t="s">
        <v>74</v>
      </c>
      <c r="AS7" s="72" t="s">
        <v>78</v>
      </c>
      <c r="AT7" s="72" t="s">
        <v>79</v>
      </c>
      <c r="AU7" s="72" t="s">
        <v>82</v>
      </c>
      <c r="AV7" s="72" t="s">
        <v>83</v>
      </c>
      <c r="AW7" s="73" t="s">
        <v>84</v>
      </c>
    </row>
    <row r="8" spans="2:49" ht="15" customHeight="1" thickBot="1" x14ac:dyDescent="0.3">
      <c r="B8" s="57" t="s">
        <v>292</v>
      </c>
      <c r="C8" s="58" t="s">
        <v>326</v>
      </c>
      <c r="D8" s="59"/>
      <c r="E8" s="130"/>
      <c r="F8" s="130"/>
      <c r="G8" s="130"/>
      <c r="H8" s="130"/>
      <c r="I8" s="130"/>
      <c r="J8" s="130"/>
      <c r="K8" s="130"/>
      <c r="L8" s="130"/>
      <c r="M8" s="130"/>
      <c r="N8" s="59" t="s">
        <v>89</v>
      </c>
      <c r="O8" s="60">
        <v>96.588504607266771</v>
      </c>
      <c r="P8" s="61">
        <v>64.36746466395104</v>
      </c>
      <c r="Q8" s="61">
        <v>95.772020761159681</v>
      </c>
      <c r="R8" s="62" t="s">
        <v>1013</v>
      </c>
      <c r="S8" s="63">
        <v>1.3640612347432974E-4</v>
      </c>
      <c r="T8" s="64">
        <v>5.9025119666722601E-5</v>
      </c>
      <c r="U8" s="64">
        <v>2.395117744515666E-5</v>
      </c>
      <c r="V8" s="64">
        <v>1.4608950203296445E-4</v>
      </c>
      <c r="W8" s="64">
        <v>1.3387386020951908E-2</v>
      </c>
      <c r="X8" s="64">
        <v>0</v>
      </c>
      <c r="Y8" s="64">
        <v>-1.4588928594783002E-3</v>
      </c>
      <c r="Z8" s="64">
        <v>0</v>
      </c>
      <c r="AA8" s="64">
        <v>4.4372149029705552E-3</v>
      </c>
      <c r="AB8" s="64">
        <v>-1.6062940398981023</v>
      </c>
      <c r="AC8" s="64">
        <v>140.48244583407404</v>
      </c>
      <c r="AD8" s="65">
        <v>965.88504607266771</v>
      </c>
      <c r="AE8" s="64">
        <v>4.7595097327250609E-5</v>
      </c>
      <c r="AF8" s="64">
        <v>96.838654953120937</v>
      </c>
      <c r="AG8" s="64">
        <v>-0.25015034585416063</v>
      </c>
      <c r="AH8" s="64">
        <v>43.288926442718513</v>
      </c>
      <c r="AI8" s="64">
        <v>54.851073557281488</v>
      </c>
      <c r="AJ8" s="64">
        <v>126.70924891117923</v>
      </c>
      <c r="AK8" s="64">
        <v>0.41005650269585603</v>
      </c>
      <c r="AL8" s="64">
        <v>-0.40200490946398304</v>
      </c>
      <c r="AM8" s="64">
        <v>-0.48113625936900917</v>
      </c>
      <c r="AN8" s="64">
        <v>-0.28362473035784297</v>
      </c>
      <c r="AO8" s="64">
        <v>0.40962391426939371</v>
      </c>
      <c r="AP8" s="64">
        <v>4.5791320000000004</v>
      </c>
      <c r="AQ8" s="64" t="s">
        <v>330</v>
      </c>
      <c r="AR8" s="64" t="s">
        <v>330</v>
      </c>
      <c r="AS8" s="64">
        <v>4.5791320000000004</v>
      </c>
      <c r="AT8" s="64">
        <v>0</v>
      </c>
      <c r="AU8" s="64">
        <v>0</v>
      </c>
      <c r="AV8" s="64">
        <v>0</v>
      </c>
      <c r="AW8" s="66">
        <v>0</v>
      </c>
    </row>
    <row r="9" spans="2:49" ht="15" customHeight="1" thickBot="1" x14ac:dyDescent="0.3">
      <c r="B9" s="57" t="s">
        <v>398</v>
      </c>
      <c r="C9" s="58" t="s">
        <v>399</v>
      </c>
      <c r="D9" s="59"/>
      <c r="E9" s="130"/>
      <c r="F9" s="130"/>
      <c r="G9" s="130"/>
      <c r="H9" s="130"/>
      <c r="I9" s="130"/>
      <c r="J9" s="130"/>
      <c r="K9" s="130"/>
      <c r="L9" s="130"/>
      <c r="M9" s="130"/>
      <c r="N9" s="59" t="s">
        <v>89</v>
      </c>
      <c r="O9" s="60">
        <v>52.236321977210849</v>
      </c>
      <c r="P9" s="61" t="s">
        <v>330</v>
      </c>
      <c r="Q9" s="61">
        <v>34.784946803056549</v>
      </c>
      <c r="R9" s="62" t="s">
        <v>1013</v>
      </c>
      <c r="S9" s="63" t="s">
        <v>330</v>
      </c>
      <c r="T9" s="64" t="s">
        <v>330</v>
      </c>
      <c r="U9" s="64" t="s">
        <v>330</v>
      </c>
      <c r="V9" s="64" t="s">
        <v>330</v>
      </c>
      <c r="W9" s="64" t="s">
        <v>330</v>
      </c>
      <c r="X9" s="64" t="s">
        <v>330</v>
      </c>
      <c r="Y9" s="64" t="s">
        <v>330</v>
      </c>
      <c r="Z9" s="64" t="s">
        <v>330</v>
      </c>
      <c r="AA9" s="64" t="s">
        <v>330</v>
      </c>
      <c r="AB9" s="64">
        <v>-3.9295990703263417</v>
      </c>
      <c r="AC9" s="64">
        <v>152.5315867752773</v>
      </c>
      <c r="AD9" s="65">
        <v>52.236321977210849</v>
      </c>
      <c r="AE9" s="64">
        <v>0.5972704498132998</v>
      </c>
      <c r="AF9" s="64">
        <v>46.299217502071329</v>
      </c>
      <c r="AG9" s="64">
        <v>5.9371044751395203</v>
      </c>
      <c r="AH9" s="64">
        <v>44.668022003173832</v>
      </c>
      <c r="AI9" s="64">
        <v>9.6209779968261699</v>
      </c>
      <c r="AJ9" s="64">
        <v>21.538849417022682</v>
      </c>
      <c r="AK9" s="64">
        <v>1.9751573754996752</v>
      </c>
      <c r="AL9" s="64">
        <v>-0.71984662524332776</v>
      </c>
      <c r="AM9" s="64">
        <v>-1.0493522252250642</v>
      </c>
      <c r="AN9" s="64">
        <v>0.10976916242885845</v>
      </c>
      <c r="AO9" s="64">
        <v>1.378057638815718</v>
      </c>
      <c r="AP9" s="64">
        <v>-4.6004551466160351</v>
      </c>
      <c r="AQ9" s="64" t="s">
        <v>330</v>
      </c>
      <c r="AR9" s="64" t="s">
        <v>330</v>
      </c>
      <c r="AS9" s="64">
        <v>-4.6004551466160351</v>
      </c>
      <c r="AT9" s="64">
        <v>0.62045718285472184</v>
      </c>
      <c r="AU9" s="64">
        <v>0</v>
      </c>
      <c r="AV9" s="64">
        <v>0</v>
      </c>
      <c r="AW9" s="66">
        <v>0.28792899999999999</v>
      </c>
    </row>
    <row r="10" spans="2:49" ht="15" customHeight="1" thickBot="1" x14ac:dyDescent="0.3">
      <c r="B10" s="57" t="s">
        <v>400</v>
      </c>
      <c r="C10" s="58" t="s">
        <v>401</v>
      </c>
      <c r="D10" s="59"/>
      <c r="E10" s="130"/>
      <c r="F10" s="130"/>
      <c r="G10" s="130"/>
      <c r="H10" s="130"/>
      <c r="I10" s="130"/>
      <c r="J10" s="130"/>
      <c r="K10" s="130"/>
      <c r="L10" s="130"/>
      <c r="M10" s="130"/>
      <c r="N10" s="59" t="s">
        <v>89</v>
      </c>
      <c r="O10" s="60">
        <v>146.37246863544524</v>
      </c>
      <c r="P10" s="61">
        <v>295.12359806435745</v>
      </c>
      <c r="Q10" s="61">
        <v>51.718159791897278</v>
      </c>
      <c r="R10" s="62" t="s">
        <v>1013</v>
      </c>
      <c r="S10" s="63">
        <v>0.84634155055255766</v>
      </c>
      <c r="T10" s="64">
        <v>1.1568163443728618</v>
      </c>
      <c r="U10" s="64">
        <v>3.9503184860244633E-3</v>
      </c>
      <c r="V10" s="64">
        <v>0.42086439000814835</v>
      </c>
      <c r="W10" s="64">
        <v>5.7591565327584247E-3</v>
      </c>
      <c r="X10" s="64">
        <v>0.43766557270133671</v>
      </c>
      <c r="Y10" s="64">
        <v>-0.92862059580190282</v>
      </c>
      <c r="Z10" s="64">
        <v>0</v>
      </c>
      <c r="AA10" s="64">
        <v>4.7428034335489436E-2</v>
      </c>
      <c r="AB10" s="64">
        <v>-1.3482941040436083</v>
      </c>
      <c r="AC10" s="64">
        <v>144.35432914393022</v>
      </c>
      <c r="AD10" s="65">
        <v>1463.7246863544526</v>
      </c>
      <c r="AE10" s="64">
        <v>0.61568689815927868</v>
      </c>
      <c r="AF10" s="64">
        <v>87.496412226287234</v>
      </c>
      <c r="AG10" s="64">
        <v>58.876056409157997</v>
      </c>
      <c r="AH10" s="64">
        <v>136.68433785598754</v>
      </c>
      <c r="AI10" s="64">
        <v>11.661662144012467</v>
      </c>
      <c r="AJ10" s="64">
        <v>8.5318203438197511</v>
      </c>
      <c r="AK10" s="64">
        <v>1.4737889250640523</v>
      </c>
      <c r="AL10" s="64">
        <v>-0.73109574717523174</v>
      </c>
      <c r="AM10" s="64">
        <v>-1.7516444590564788</v>
      </c>
      <c r="AN10" s="64">
        <v>1.9132218760151634</v>
      </c>
      <c r="AO10" s="64">
        <v>0.49283145293788289</v>
      </c>
      <c r="AP10" s="64">
        <v>-11.092579000000001</v>
      </c>
      <c r="AQ10" s="64" t="s">
        <v>330</v>
      </c>
      <c r="AR10" s="64" t="s">
        <v>330</v>
      </c>
      <c r="AS10" s="64">
        <v>-11.092579000000001</v>
      </c>
      <c r="AT10" s="64">
        <v>1.685249349493751</v>
      </c>
      <c r="AU10" s="64">
        <v>5.363088507358027</v>
      </c>
      <c r="AV10" s="64">
        <v>5.3007800028440242</v>
      </c>
      <c r="AW10" s="66">
        <v>0.20833333333333334</v>
      </c>
    </row>
    <row r="11" spans="2:49" ht="15" customHeight="1" thickBot="1" x14ac:dyDescent="0.3">
      <c r="B11" s="57" t="s">
        <v>402</v>
      </c>
      <c r="C11" s="58" t="s">
        <v>403</v>
      </c>
      <c r="D11" s="59"/>
      <c r="E11" s="130"/>
      <c r="F11" s="130"/>
      <c r="G11" s="130"/>
      <c r="H11" s="130"/>
      <c r="I11" s="130"/>
      <c r="J11" s="130"/>
      <c r="K11" s="130"/>
      <c r="L11" s="130"/>
      <c r="M11" s="130"/>
      <c r="N11" s="59" t="s">
        <v>89</v>
      </c>
      <c r="O11" s="60">
        <v>90.370443302794072</v>
      </c>
      <c r="P11" s="61">
        <v>121.85967996795802</v>
      </c>
      <c r="Q11" s="61">
        <v>48.912370385329361</v>
      </c>
      <c r="R11" s="62" t="s">
        <v>1013</v>
      </c>
      <c r="S11" s="63">
        <v>0.25499263355077695</v>
      </c>
      <c r="T11" s="64">
        <v>0.16149324783135408</v>
      </c>
      <c r="U11" s="64">
        <v>7.6708500687054258E-3</v>
      </c>
      <c r="V11" s="64">
        <v>0.27355939407762547</v>
      </c>
      <c r="W11" s="64">
        <v>5.2898343436595498E-3</v>
      </c>
      <c r="X11" s="64">
        <v>0</v>
      </c>
      <c r="Y11" s="64">
        <v>-0.28464770592094363</v>
      </c>
      <c r="Z11" s="64">
        <v>0</v>
      </c>
      <c r="AA11" s="64">
        <v>3.7791078147924158E-2</v>
      </c>
      <c r="AB11" s="64">
        <v>-5.8022916625925323</v>
      </c>
      <c r="AC11" s="64">
        <v>0</v>
      </c>
      <c r="AD11" s="65">
        <v>903.70443302794069</v>
      </c>
      <c r="AE11" s="64">
        <v>0.21948301317926405</v>
      </c>
      <c r="AF11" s="64">
        <v>87.904159075762678</v>
      </c>
      <c r="AG11" s="64">
        <v>2.4662842270313829</v>
      </c>
      <c r="AH11" s="64">
        <v>63.332514976043704</v>
      </c>
      <c r="AI11" s="64">
        <v>32.2814850239563</v>
      </c>
      <c r="AJ11" s="64">
        <v>50.97142445103777</v>
      </c>
      <c r="AK11" s="64">
        <v>1.8415006544721164</v>
      </c>
      <c r="AL11" s="64">
        <v>-1.4566354943393662</v>
      </c>
      <c r="AM11" s="64">
        <v>-1.9645710747344083</v>
      </c>
      <c r="AN11" s="64">
        <v>5.9843491030661444E-2</v>
      </c>
      <c r="AO11" s="64">
        <v>1.5234541953472989</v>
      </c>
      <c r="AP11" s="64">
        <v>2.7921179999999999</v>
      </c>
      <c r="AQ11" s="64" t="s">
        <v>330</v>
      </c>
      <c r="AR11" s="64" t="s">
        <v>330</v>
      </c>
      <c r="AS11" s="64">
        <v>2.7921179999999999</v>
      </c>
      <c r="AT11" s="64">
        <v>0.39220197878971697</v>
      </c>
      <c r="AU11" s="64">
        <v>86.083960063883453</v>
      </c>
      <c r="AV11" s="64">
        <v>86.083960063883453</v>
      </c>
      <c r="AW11" s="66">
        <v>4.583333333333333E-2</v>
      </c>
    </row>
    <row r="12" spans="2:49" ht="15" customHeight="1" thickBot="1" x14ac:dyDescent="0.3">
      <c r="B12" s="57" t="s">
        <v>404</v>
      </c>
      <c r="C12" s="58" t="s">
        <v>405</v>
      </c>
      <c r="D12" s="59"/>
      <c r="E12" s="130"/>
      <c r="F12" s="130"/>
      <c r="G12" s="130"/>
      <c r="H12" s="130"/>
      <c r="I12" s="130"/>
      <c r="J12" s="130"/>
      <c r="K12" s="130"/>
      <c r="L12" s="130"/>
      <c r="M12" s="130"/>
      <c r="N12" s="59" t="s">
        <v>89</v>
      </c>
      <c r="O12" s="60">
        <v>86.930460858662826</v>
      </c>
      <c r="P12" s="61">
        <v>181.49085125558955</v>
      </c>
      <c r="Q12" s="61">
        <v>49.60242014760167</v>
      </c>
      <c r="R12" s="62" t="s">
        <v>1013</v>
      </c>
      <c r="S12" s="63">
        <v>0.36561528737478705</v>
      </c>
      <c r="T12" s="64">
        <v>0.21298292431428395</v>
      </c>
      <c r="U12" s="64">
        <v>6.683005155580902E-3</v>
      </c>
      <c r="V12" s="64">
        <v>0.39227544461637648</v>
      </c>
      <c r="W12" s="64">
        <v>6.0395175153075799E-3</v>
      </c>
      <c r="X12" s="64">
        <v>0</v>
      </c>
      <c r="Y12" s="64">
        <v>-0.67322597529674433</v>
      </c>
      <c r="Z12" s="64">
        <v>0</v>
      </c>
      <c r="AA12" s="64">
        <v>9.7097602498097318E-2</v>
      </c>
      <c r="AB12" s="64">
        <v>-7.5273259530696466</v>
      </c>
      <c r="AC12" s="64">
        <v>0</v>
      </c>
      <c r="AD12" s="65">
        <v>869.30460858662832</v>
      </c>
      <c r="AE12" s="64">
        <v>0.28945844478927335</v>
      </c>
      <c r="AF12" s="64">
        <v>81.908983698994561</v>
      </c>
      <c r="AG12" s="64">
        <v>5.0214771596682448</v>
      </c>
      <c r="AH12" s="64">
        <v>58.253287449646002</v>
      </c>
      <c r="AI12" s="64">
        <v>35.220712550354001</v>
      </c>
      <c r="AJ12" s="64">
        <v>60.461330325432186</v>
      </c>
      <c r="AK12" s="64">
        <v>3.1720289424539558</v>
      </c>
      <c r="AL12" s="64">
        <v>-2.300531601947398</v>
      </c>
      <c r="AM12" s="64">
        <v>-3.1697992456724933</v>
      </c>
      <c r="AN12" s="64">
        <v>0.14487408937372409</v>
      </c>
      <c r="AO12" s="64">
        <v>2.4611459892027709</v>
      </c>
      <c r="AP12" s="64">
        <v>3.206245</v>
      </c>
      <c r="AQ12" s="64" t="s">
        <v>330</v>
      </c>
      <c r="AR12" s="64" t="s">
        <v>330</v>
      </c>
      <c r="AS12" s="64">
        <v>3.206245</v>
      </c>
      <c r="AT12" s="64">
        <v>1.2035432312728673</v>
      </c>
      <c r="AU12" s="64">
        <v>31.307300044759117</v>
      </c>
      <c r="AV12" s="64">
        <v>31.307300044759117</v>
      </c>
      <c r="AW12" s="66">
        <v>0.1875</v>
      </c>
    </row>
    <row r="13" spans="2:49" ht="15" customHeight="1" thickBot="1" x14ac:dyDescent="0.3">
      <c r="B13" s="57" t="s">
        <v>406</v>
      </c>
      <c r="C13" s="58" t="s">
        <v>407</v>
      </c>
      <c r="D13" s="59"/>
      <c r="E13" s="130"/>
      <c r="F13" s="130"/>
      <c r="G13" s="130"/>
      <c r="H13" s="130"/>
      <c r="I13" s="130"/>
      <c r="J13" s="130"/>
      <c r="K13" s="130"/>
      <c r="L13" s="130"/>
      <c r="M13" s="130"/>
      <c r="N13" s="59" t="s">
        <v>89</v>
      </c>
      <c r="O13" s="60">
        <v>171.69972360627199</v>
      </c>
      <c r="P13" s="61" t="s">
        <v>330</v>
      </c>
      <c r="Q13" s="61" t="s">
        <v>330</v>
      </c>
      <c r="R13" s="62" t="s">
        <v>1013</v>
      </c>
      <c r="S13" s="63" t="s">
        <v>330</v>
      </c>
      <c r="T13" s="64" t="s">
        <v>330</v>
      </c>
      <c r="U13" s="64" t="s">
        <v>330</v>
      </c>
      <c r="V13" s="64" t="s">
        <v>330</v>
      </c>
      <c r="W13" s="64" t="s">
        <v>330</v>
      </c>
      <c r="X13" s="64" t="s">
        <v>330</v>
      </c>
      <c r="Y13" s="64" t="s">
        <v>330</v>
      </c>
      <c r="Z13" s="64" t="s">
        <v>330</v>
      </c>
      <c r="AA13" s="64" t="s">
        <v>330</v>
      </c>
      <c r="AB13" s="64">
        <v>0.12738727918604731</v>
      </c>
      <c r="AC13" s="64">
        <v>144.45446122483568</v>
      </c>
      <c r="AD13" s="65">
        <v>1716.9972360627198</v>
      </c>
      <c r="AE13" s="64">
        <v>0.33655324727888752</v>
      </c>
      <c r="AF13" s="64">
        <v>88.779623808412538</v>
      </c>
      <c r="AG13" s="64">
        <v>82.92009979785945</v>
      </c>
      <c r="AH13" s="64">
        <v>168.97118062042236</v>
      </c>
      <c r="AI13" s="64">
        <v>2.5098193795776353</v>
      </c>
      <c r="AJ13" s="64">
        <v>1.4853535202643255</v>
      </c>
      <c r="AK13" s="64">
        <v>1.158487545825154</v>
      </c>
      <c r="AL13" s="64">
        <v>-8.7930760138533515E-2</v>
      </c>
      <c r="AM13" s="64">
        <v>9.1580211436394166E-2</v>
      </c>
      <c r="AN13" s="64">
        <v>3.1008994227923309E-3</v>
      </c>
      <c r="AO13" s="64">
        <v>5.121194041067257E-2</v>
      </c>
      <c r="AP13" s="64">
        <v>-25.562723836218463</v>
      </c>
      <c r="AQ13" s="64" t="s">
        <v>330</v>
      </c>
      <c r="AR13" s="64" t="s">
        <v>330</v>
      </c>
      <c r="AS13" s="64">
        <v>-25.562723999999999</v>
      </c>
      <c r="AT13" s="64">
        <v>0.5831549851003901</v>
      </c>
      <c r="AU13" s="64">
        <v>2.5098193795776296</v>
      </c>
      <c r="AV13" s="64">
        <v>2.5098193795776296</v>
      </c>
      <c r="AW13" s="66">
        <v>8.3333333333333329E-2</v>
      </c>
    </row>
    <row r="14" spans="2:49" ht="15" customHeight="1" thickBot="1" x14ac:dyDescent="0.3">
      <c r="B14" s="57" t="s">
        <v>408</v>
      </c>
      <c r="C14" s="58" t="s">
        <v>409</v>
      </c>
      <c r="D14" s="59"/>
      <c r="E14" s="130"/>
      <c r="F14" s="130"/>
      <c r="G14" s="130"/>
      <c r="H14" s="130"/>
      <c r="I14" s="130"/>
      <c r="J14" s="130"/>
      <c r="K14" s="130"/>
      <c r="L14" s="130"/>
      <c r="M14" s="130"/>
      <c r="N14" s="59" t="s">
        <v>89</v>
      </c>
      <c r="O14" s="60">
        <v>97.88119176659599</v>
      </c>
      <c r="P14" s="61">
        <v>66.365317209934588</v>
      </c>
      <c r="Q14" s="61">
        <v>135.9851666818675</v>
      </c>
      <c r="R14" s="62" t="s">
        <v>1013</v>
      </c>
      <c r="S14" s="63">
        <v>1.8368457713386709E-14</v>
      </c>
      <c r="T14" s="64">
        <v>6.3245328371369482E-15</v>
      </c>
      <c r="U14" s="64">
        <v>6.2268561248328714E-14</v>
      </c>
      <c r="V14" s="64">
        <v>6.8212102632969615E-14</v>
      </c>
      <c r="W14" s="64">
        <v>1.3567009832001986E-2</v>
      </c>
      <c r="X14" s="64">
        <v>0</v>
      </c>
      <c r="Y14" s="64">
        <v>-5.4177859540734108E-4</v>
      </c>
      <c r="Z14" s="64">
        <v>0</v>
      </c>
      <c r="AA14" s="64">
        <v>2.7658625645443904E-3</v>
      </c>
      <c r="AB14" s="64">
        <v>-0.968325187196447</v>
      </c>
      <c r="AC14" s="64">
        <v>136.93422008447976</v>
      </c>
      <c r="AD14" s="65">
        <v>978.81191766595987</v>
      </c>
      <c r="AE14" s="64">
        <v>2.4899844059856019E-15</v>
      </c>
      <c r="AF14" s="64">
        <v>98.038326446304026</v>
      </c>
      <c r="AG14" s="64">
        <v>-0.15713467970804232</v>
      </c>
      <c r="AH14" s="64">
        <v>34.431485407333383</v>
      </c>
      <c r="AI14" s="64">
        <v>64.39751459266661</v>
      </c>
      <c r="AJ14" s="64">
        <v>187.03089289011888</v>
      </c>
      <c r="AK14" s="64">
        <v>0.24897244989426054</v>
      </c>
      <c r="AL14" s="64">
        <v>-0.24711253723666005</v>
      </c>
      <c r="AM14" s="64">
        <v>-0.29122212362563005</v>
      </c>
      <c r="AN14" s="64">
        <v>-0.10713187380619003</v>
      </c>
      <c r="AO14" s="64">
        <v>0.25004051162782187</v>
      </c>
      <c r="AP14" s="64">
        <v>4.7927523434247128</v>
      </c>
      <c r="AQ14" s="64" t="s">
        <v>330</v>
      </c>
      <c r="AR14" s="64" t="s">
        <v>330</v>
      </c>
      <c r="AS14" s="64">
        <v>4.7927520000000001</v>
      </c>
      <c r="AT14" s="64">
        <v>0</v>
      </c>
      <c r="AU14" s="64">
        <v>0</v>
      </c>
      <c r="AV14" s="64">
        <v>0</v>
      </c>
      <c r="AW14" s="66">
        <v>0</v>
      </c>
    </row>
    <row r="15" spans="2:49" ht="15" customHeight="1" thickBot="1" x14ac:dyDescent="0.3">
      <c r="B15" s="57" t="s">
        <v>410</v>
      </c>
      <c r="C15" s="58" t="s">
        <v>411</v>
      </c>
      <c r="D15" s="59"/>
      <c r="E15" s="130"/>
      <c r="F15" s="130"/>
      <c r="G15" s="130"/>
      <c r="H15" s="130"/>
      <c r="I15" s="130"/>
      <c r="J15" s="130"/>
      <c r="K15" s="130"/>
      <c r="L15" s="130"/>
      <c r="M15" s="130"/>
      <c r="N15" s="59" t="s">
        <v>89</v>
      </c>
      <c r="O15" s="60">
        <v>87.997539088990507</v>
      </c>
      <c r="P15" s="61">
        <v>187.3333794381499</v>
      </c>
      <c r="Q15" s="61">
        <v>49.182047376690591</v>
      </c>
      <c r="R15" s="62" t="s">
        <v>1013</v>
      </c>
      <c r="S15" s="63">
        <v>0.33445795496617642</v>
      </c>
      <c r="T15" s="64">
        <v>0.19420161736193087</v>
      </c>
      <c r="U15" s="64">
        <v>7.0935922894031604E-3</v>
      </c>
      <c r="V15" s="64">
        <v>0.3617453389653974</v>
      </c>
      <c r="W15" s="64">
        <v>7.423937736439257E-3</v>
      </c>
      <c r="X15" s="64">
        <v>0</v>
      </c>
      <c r="Y15" s="64">
        <v>-0.57059601063037801</v>
      </c>
      <c r="Z15" s="64">
        <v>0</v>
      </c>
      <c r="AA15" s="64">
        <v>0.10260048949796255</v>
      </c>
      <c r="AB15" s="64">
        <v>-7.7075574853866087</v>
      </c>
      <c r="AC15" s="64">
        <v>139.56412875217211</v>
      </c>
      <c r="AD15" s="65">
        <v>879.97539088990516</v>
      </c>
      <c r="AE15" s="64">
        <v>0.38319248187300819</v>
      </c>
      <c r="AF15" s="64">
        <v>84.039059790248643</v>
      </c>
      <c r="AG15" s="64">
        <v>3.9584792987418611</v>
      </c>
      <c r="AH15" s="64">
        <v>58.064583149642942</v>
      </c>
      <c r="AI15" s="64">
        <v>36.715416850357059</v>
      </c>
      <c r="AJ15" s="64">
        <v>63.232033812650968</v>
      </c>
      <c r="AK15" s="64">
        <v>3.3659876499274097</v>
      </c>
      <c r="AL15" s="64">
        <v>-2.5357156844218594</v>
      </c>
      <c r="AM15" s="64">
        <v>-3.3932864904419375</v>
      </c>
      <c r="AN15" s="64">
        <v>0.17763262266210814</v>
      </c>
      <c r="AO15" s="64">
        <v>2.6753699983349435</v>
      </c>
      <c r="AP15" s="64">
        <v>3.8046220000000002</v>
      </c>
      <c r="AQ15" s="64" t="s">
        <v>330</v>
      </c>
      <c r="AR15" s="64" t="s">
        <v>330</v>
      </c>
      <c r="AS15" s="64">
        <v>3.8046220000000002</v>
      </c>
      <c r="AT15" s="64">
        <v>2.3739185482169236</v>
      </c>
      <c r="AU15" s="64">
        <v>16.317963044603136</v>
      </c>
      <c r="AV15" s="64">
        <v>16.317963044603136</v>
      </c>
      <c r="AW15" s="66">
        <v>0.83750000000000002</v>
      </c>
    </row>
    <row r="16" spans="2:49" ht="15" customHeight="1" thickBot="1" x14ac:dyDescent="0.3">
      <c r="B16" s="57" t="s">
        <v>412</v>
      </c>
      <c r="C16" s="58" t="s">
        <v>413</v>
      </c>
      <c r="D16" s="59"/>
      <c r="E16" s="130"/>
      <c r="F16" s="130"/>
      <c r="G16" s="130"/>
      <c r="H16" s="130"/>
      <c r="I16" s="130"/>
      <c r="J16" s="130"/>
      <c r="K16" s="130"/>
      <c r="L16" s="130"/>
      <c r="M16" s="130"/>
      <c r="N16" s="59" t="s">
        <v>89</v>
      </c>
      <c r="O16" s="60">
        <v>91.314761273629728</v>
      </c>
      <c r="P16" s="61">
        <v>212.27787072026507</v>
      </c>
      <c r="Q16" s="61" t="s">
        <v>330</v>
      </c>
      <c r="R16" s="62" t="s">
        <v>1013</v>
      </c>
      <c r="S16" s="63">
        <v>1.6089412939316345E-3</v>
      </c>
      <c r="T16" s="64">
        <v>1.3323342716238296E-4</v>
      </c>
      <c r="U16" s="64">
        <v>7.0892379699430926E-5</v>
      </c>
      <c r="V16" s="64">
        <v>5.8116236727073561E-4</v>
      </c>
      <c r="W16" s="64">
        <v>1.199376293894602E-2</v>
      </c>
      <c r="X16" s="64">
        <v>0</v>
      </c>
      <c r="Y16" s="64">
        <v>-2.7074046906584915E-4</v>
      </c>
      <c r="Z16" s="64">
        <v>-1.3492462155109997E-4</v>
      </c>
      <c r="AA16" s="64">
        <v>7.095344187368996E-2</v>
      </c>
      <c r="AB16" s="64">
        <v>-4.3642875158248149</v>
      </c>
      <c r="AC16" s="64">
        <v>153.88760952732883</v>
      </c>
      <c r="AD16" s="65">
        <v>91314.761273629716</v>
      </c>
      <c r="AE16" s="64">
        <v>1.120458071757306E-3</v>
      </c>
      <c r="AF16" s="64">
        <v>92.387105700140509</v>
      </c>
      <c r="AG16" s="64">
        <v>-1.0723444265107829</v>
      </c>
      <c r="AH16" s="64">
        <v>8.280902731905968</v>
      </c>
      <c r="AI16" s="64">
        <v>87.019212148346384</v>
      </c>
      <c r="AJ16" s="64">
        <v>1050.8566782201688</v>
      </c>
      <c r="AK16" s="64">
        <v>1.9743476184150497</v>
      </c>
      <c r="AL16" s="64">
        <v>-2.3327925586156923</v>
      </c>
      <c r="AM16" s="64">
        <v>-2.1876625518285437</v>
      </c>
      <c r="AN16" s="64">
        <v>7.1408298229292413E-2</v>
      </c>
      <c r="AO16" s="64">
        <v>2.4478410898380822</v>
      </c>
      <c r="AP16" s="64">
        <v>4.5562055639933714</v>
      </c>
      <c r="AQ16" s="64" t="s">
        <v>330</v>
      </c>
      <c r="AR16" s="64" t="s">
        <v>330</v>
      </c>
      <c r="AS16" s="64">
        <v>4.5562055639933714</v>
      </c>
      <c r="AT16" s="64">
        <v>2.2298006295907662</v>
      </c>
      <c r="AU16" s="64">
        <v>40.950163420279544</v>
      </c>
      <c r="AV16" s="64">
        <v>40.950163420279544</v>
      </c>
      <c r="AW16" s="66">
        <v>0.95278532608695665</v>
      </c>
    </row>
    <row r="17" spans="2:49" ht="15" customHeight="1" thickBot="1" x14ac:dyDescent="0.3">
      <c r="B17" s="57" t="s">
        <v>414</v>
      </c>
      <c r="C17" s="58" t="s">
        <v>415</v>
      </c>
      <c r="D17" s="59"/>
      <c r="E17" s="130"/>
      <c r="F17" s="130"/>
      <c r="G17" s="130"/>
      <c r="H17" s="130"/>
      <c r="I17" s="130"/>
      <c r="J17" s="130"/>
      <c r="K17" s="130"/>
      <c r="L17" s="130"/>
      <c r="M17" s="130"/>
      <c r="N17" s="59" t="s">
        <v>89</v>
      </c>
      <c r="O17" s="60">
        <v>109.18250394411535</v>
      </c>
      <c r="P17" s="61">
        <v>45.791999415712695</v>
      </c>
      <c r="Q17" s="61">
        <v>15.629303358155564</v>
      </c>
      <c r="R17" s="62" t="s">
        <v>1013</v>
      </c>
      <c r="S17" s="63">
        <v>0.59870167445350075</v>
      </c>
      <c r="T17" s="64">
        <v>0.60533668145662189</v>
      </c>
      <c r="U17" s="64">
        <v>8.8580150351429982E-3</v>
      </c>
      <c r="V17" s="64">
        <v>0.67822394103071648</v>
      </c>
      <c r="W17" s="64">
        <v>-1.5541060160100459E-3</v>
      </c>
      <c r="X17" s="64">
        <v>0.18502837121992519</v>
      </c>
      <c r="Y17" s="64">
        <v>-1.6783691801856147</v>
      </c>
      <c r="Z17" s="64">
        <v>0</v>
      </c>
      <c r="AA17" s="64">
        <v>2.2964705831078944E-2</v>
      </c>
      <c r="AB17" s="64">
        <v>-0.35490673128634054</v>
      </c>
      <c r="AC17" s="64">
        <v>126.18665051572673</v>
      </c>
      <c r="AD17" s="65">
        <v>10918250.394411536</v>
      </c>
      <c r="AE17" s="64">
        <v>2.1542230656819285E-2</v>
      </c>
      <c r="AF17" s="64">
        <v>95.246107132905621</v>
      </c>
      <c r="AG17" s="64">
        <v>13.936396811209731</v>
      </c>
      <c r="AH17" s="64">
        <v>101.1082325783</v>
      </c>
      <c r="AI17" s="64">
        <v>8.4617674216999887</v>
      </c>
      <c r="AJ17" s="64">
        <v>8.369019224173508</v>
      </c>
      <c r="AK17" s="64">
        <v>3.989472635747553</v>
      </c>
      <c r="AL17" s="64">
        <v>-1.9036883868455887</v>
      </c>
      <c r="AM17" s="64">
        <v>-3.6785251443626361</v>
      </c>
      <c r="AN17" s="64">
        <v>-0.72438970129969926</v>
      </c>
      <c r="AO17" s="64">
        <v>1.7374175292923144</v>
      </c>
      <c r="AP17" s="64">
        <v>-1.475746</v>
      </c>
      <c r="AQ17" s="64" t="s">
        <v>330</v>
      </c>
      <c r="AR17" s="64">
        <v>-2.8671679999999999</v>
      </c>
      <c r="AS17" s="64">
        <v>-1.475746</v>
      </c>
      <c r="AT17" s="64">
        <v>0</v>
      </c>
      <c r="AU17" s="64">
        <v>0</v>
      </c>
      <c r="AV17" s="64">
        <v>0</v>
      </c>
      <c r="AW17" s="66">
        <v>0</v>
      </c>
    </row>
    <row r="18" spans="2:49" ht="15" customHeight="1" thickBot="1" x14ac:dyDescent="0.3">
      <c r="B18" s="57" t="s">
        <v>293</v>
      </c>
      <c r="C18" s="58" t="s">
        <v>331</v>
      </c>
      <c r="D18" s="59"/>
      <c r="E18" s="130"/>
      <c r="F18" s="130"/>
      <c r="G18" s="130"/>
      <c r="H18" s="130"/>
      <c r="I18" s="130"/>
      <c r="J18" s="130"/>
      <c r="K18" s="130"/>
      <c r="L18" s="130"/>
      <c r="M18" s="130"/>
      <c r="N18" s="59" t="s">
        <v>89</v>
      </c>
      <c r="O18" s="60">
        <v>101.52837256257911</v>
      </c>
      <c r="P18" s="61">
        <v>72.804101552269046</v>
      </c>
      <c r="Q18" s="61">
        <v>21.818650365472845</v>
      </c>
      <c r="R18" s="62" t="s">
        <v>1013</v>
      </c>
      <c r="S18" s="63">
        <v>0.40429824347840521</v>
      </c>
      <c r="T18" s="64">
        <v>0.29744278388993867</v>
      </c>
      <c r="U18" s="64">
        <v>8.1296702607475645E-3</v>
      </c>
      <c r="V18" s="64">
        <v>0.57900006616901378</v>
      </c>
      <c r="W18" s="64">
        <v>9.1477781886351299E-4</v>
      </c>
      <c r="X18" s="64">
        <v>1.9981859933198183E-2</v>
      </c>
      <c r="Y18" s="64">
        <v>-1.0358269708940844</v>
      </c>
      <c r="Z18" s="64">
        <v>0</v>
      </c>
      <c r="AA18" s="64">
        <v>5.3091865981000408E-2</v>
      </c>
      <c r="AB18" s="64">
        <v>1.0759283686004071</v>
      </c>
      <c r="AC18" s="64">
        <v>155.31705869291071</v>
      </c>
      <c r="AD18" s="65">
        <v>101528.3725625791</v>
      </c>
      <c r="AE18" s="64">
        <v>1.071462979414882</v>
      </c>
      <c r="AF18" s="64">
        <v>94.02460693625936</v>
      </c>
      <c r="AG18" s="64">
        <v>7.5037656263197414</v>
      </c>
      <c r="AH18" s="64">
        <v>73.570140035947475</v>
      </c>
      <c r="AI18" s="64">
        <v>26.865859964052532</v>
      </c>
      <c r="AJ18" s="64">
        <v>36.517342431216619</v>
      </c>
      <c r="AK18" s="64">
        <v>4.2831566205388949</v>
      </c>
      <c r="AL18" s="64">
        <v>-3.5574463053814545</v>
      </c>
      <c r="AM18" s="64">
        <v>-4.588409790687292</v>
      </c>
      <c r="AN18" s="64">
        <v>-0.71841591420141138</v>
      </c>
      <c r="AO18" s="64">
        <v>3.5420031715534805</v>
      </c>
      <c r="AP18" s="64">
        <v>1.2711682933177926</v>
      </c>
      <c r="AQ18" s="64" t="s">
        <v>330</v>
      </c>
      <c r="AR18" s="64" t="s">
        <v>330</v>
      </c>
      <c r="AS18" s="64">
        <v>1.2711682933177926</v>
      </c>
      <c r="AT18" s="64">
        <v>0</v>
      </c>
      <c r="AU18" s="64">
        <v>0</v>
      </c>
      <c r="AV18" s="64">
        <v>0</v>
      </c>
      <c r="AW18" s="66">
        <v>0</v>
      </c>
    </row>
    <row r="19" spans="2:49" ht="15" customHeight="1" thickBot="1" x14ac:dyDescent="0.3">
      <c r="B19" s="57" t="s">
        <v>416</v>
      </c>
      <c r="C19" s="58" t="s">
        <v>417</v>
      </c>
      <c r="D19" s="59"/>
      <c r="E19" s="130"/>
      <c r="F19" s="130"/>
      <c r="G19" s="130"/>
      <c r="H19" s="130"/>
      <c r="I19" s="130"/>
      <c r="J19" s="130"/>
      <c r="K19" s="130"/>
      <c r="L19" s="130"/>
      <c r="M19" s="130"/>
      <c r="N19" s="59" t="s">
        <v>89</v>
      </c>
      <c r="O19" s="60">
        <v>103.65167251045224</v>
      </c>
      <c r="P19" s="61">
        <v>85.170138951865383</v>
      </c>
      <c r="Q19" s="61">
        <v>20.3954989250735</v>
      </c>
      <c r="R19" s="62" t="s">
        <v>1013</v>
      </c>
      <c r="S19" s="63">
        <v>0.47838604661284162</v>
      </c>
      <c r="T19" s="64">
        <v>0.3398130711872771</v>
      </c>
      <c r="U19" s="64">
        <v>7.129642676342504E-3</v>
      </c>
      <c r="V19" s="64">
        <v>0.69736972656254514</v>
      </c>
      <c r="W19" s="64">
        <v>1.5973536964156666E-3</v>
      </c>
      <c r="X19" s="64">
        <v>-0.14274407290348812</v>
      </c>
      <c r="Y19" s="64">
        <v>-1.6752676710782282</v>
      </c>
      <c r="Z19" s="64">
        <v>0</v>
      </c>
      <c r="AA19" s="64">
        <v>8.4866685352969345E-2</v>
      </c>
      <c r="AB19" s="64">
        <v>2.2119011251082994</v>
      </c>
      <c r="AC19" s="64">
        <v>146.07093691790595</v>
      </c>
      <c r="AD19" s="65">
        <v>103651.67251045225</v>
      </c>
      <c r="AE19" s="64">
        <v>1.2241064387487754</v>
      </c>
      <c r="AF19" s="64">
        <v>93.572166943838909</v>
      </c>
      <c r="AG19" s="64">
        <v>10.07950556661334</v>
      </c>
      <c r="AH19" s="64">
        <v>71.033232175830619</v>
      </c>
      <c r="AI19" s="64">
        <v>30.32676782416938</v>
      </c>
      <c r="AJ19" s="64">
        <v>42.693774301443376</v>
      </c>
      <c r="AK19" s="64">
        <v>6.0465508107708663</v>
      </c>
      <c r="AL19" s="64">
        <v>-4.5537287310056129</v>
      </c>
      <c r="AM19" s="64">
        <v>-5.7853650179409302</v>
      </c>
      <c r="AN19" s="64">
        <v>0.55666108873107112</v>
      </c>
      <c r="AO19" s="64">
        <v>4.4926733008471009</v>
      </c>
      <c r="AP19" s="64">
        <v>1.594514975886377</v>
      </c>
      <c r="AQ19" s="64" t="s">
        <v>330</v>
      </c>
      <c r="AR19" s="64" t="s">
        <v>330</v>
      </c>
      <c r="AS19" s="64">
        <v>1.594514975886377</v>
      </c>
      <c r="AT19" s="64">
        <v>0.86326818536094474</v>
      </c>
      <c r="AU19" s="64">
        <v>0</v>
      </c>
      <c r="AV19" s="64">
        <v>0</v>
      </c>
      <c r="AW19" s="66">
        <v>0.35190217391304351</v>
      </c>
    </row>
    <row r="20" spans="2:49" ht="15" customHeight="1" thickBot="1" x14ac:dyDescent="0.3">
      <c r="B20" s="57" t="s">
        <v>418</v>
      </c>
      <c r="C20" s="58" t="s">
        <v>419</v>
      </c>
      <c r="D20" s="59"/>
      <c r="E20" s="130"/>
      <c r="F20" s="130"/>
      <c r="G20" s="130"/>
      <c r="H20" s="130"/>
      <c r="I20" s="130"/>
      <c r="J20" s="130"/>
      <c r="K20" s="130"/>
      <c r="L20" s="130"/>
      <c r="M20" s="130"/>
      <c r="N20" s="59" t="s">
        <v>89</v>
      </c>
      <c r="O20" s="60">
        <v>97.838606524464382</v>
      </c>
      <c r="P20" s="61">
        <v>186.69784391723755</v>
      </c>
      <c r="Q20" s="61">
        <v>45.114089285153838</v>
      </c>
      <c r="R20" s="62" t="s">
        <v>1013</v>
      </c>
      <c r="S20" s="63">
        <v>0.5023352204145799</v>
      </c>
      <c r="T20" s="64">
        <v>0.38586441515387343</v>
      </c>
      <c r="U20" s="64">
        <v>7.5185102423951326E-3</v>
      </c>
      <c r="V20" s="64">
        <v>0.55192105616171461</v>
      </c>
      <c r="W20" s="64">
        <v>-2.1553980721073459E-3</v>
      </c>
      <c r="X20" s="64">
        <v>4.7717777014560613E-2</v>
      </c>
      <c r="Y20" s="64">
        <v>-1.166795829374988</v>
      </c>
      <c r="Z20" s="64">
        <v>-0.35554995824050295</v>
      </c>
      <c r="AA20" s="64">
        <v>8.436329269035793E-2</v>
      </c>
      <c r="AB20" s="64">
        <v>-5.609639865591558</v>
      </c>
      <c r="AC20" s="64">
        <v>0</v>
      </c>
      <c r="AD20" s="65">
        <v>97838.606524464383</v>
      </c>
      <c r="AE20" s="64">
        <v>4.0514541937925799</v>
      </c>
      <c r="AF20" s="64">
        <v>87.884132539441268</v>
      </c>
      <c r="AG20" s="64">
        <v>9.9544739850231121</v>
      </c>
      <c r="AH20" s="64">
        <v>76.830260513646479</v>
      </c>
      <c r="AI20" s="64">
        <v>26.497503511684613</v>
      </c>
      <c r="AJ20" s="64">
        <v>34.488711657396436</v>
      </c>
      <c r="AK20" s="64">
        <v>3.8797329059284205</v>
      </c>
      <c r="AL20" s="64">
        <v>-2.0455332729696964</v>
      </c>
      <c r="AM20" s="64">
        <v>-2.8041065626063211</v>
      </c>
      <c r="AN20" s="64">
        <v>8.7138857153903057E-2</v>
      </c>
      <c r="AO20" s="64">
        <v>1.979669663272617</v>
      </c>
      <c r="AP20" s="64">
        <v>-0.78869265817493872</v>
      </c>
      <c r="AQ20" s="64" t="s">
        <v>330</v>
      </c>
      <c r="AR20" s="64">
        <v>-1.5224417436314197</v>
      </c>
      <c r="AS20" s="64">
        <v>-0.78869299999999998</v>
      </c>
      <c r="AT20" s="64">
        <v>0</v>
      </c>
      <c r="AU20" s="64">
        <v>0</v>
      </c>
      <c r="AV20" s="64">
        <v>0</v>
      </c>
      <c r="AW20" s="66">
        <v>0</v>
      </c>
    </row>
    <row r="21" spans="2:49" ht="15" customHeight="1" thickBot="1" x14ac:dyDescent="0.3">
      <c r="B21" s="57" t="s">
        <v>420</v>
      </c>
      <c r="C21" s="58" t="s">
        <v>421</v>
      </c>
      <c r="D21" s="59"/>
      <c r="E21" s="130"/>
      <c r="F21" s="130"/>
      <c r="G21" s="130"/>
      <c r="H21" s="130"/>
      <c r="I21" s="130"/>
      <c r="J21" s="130"/>
      <c r="K21" s="130"/>
      <c r="L21" s="130"/>
      <c r="M21" s="130"/>
      <c r="N21" s="59" t="s">
        <v>89</v>
      </c>
      <c r="O21" s="60">
        <v>93.724291386431574</v>
      </c>
      <c r="P21" s="61">
        <v>676.23933359416401</v>
      </c>
      <c r="Q21" s="61">
        <v>54.194343447635696</v>
      </c>
      <c r="R21" s="62" t="s">
        <v>1013</v>
      </c>
      <c r="S21" s="63">
        <v>0.51327739790653459</v>
      </c>
      <c r="T21" s="64">
        <v>0.21078913187081263</v>
      </c>
      <c r="U21" s="64">
        <v>2.2561618618742794E-3</v>
      </c>
      <c r="V21" s="64">
        <v>0.18799671752151426</v>
      </c>
      <c r="W21" s="64">
        <v>1.0821311886024887E-2</v>
      </c>
      <c r="X21" s="64">
        <v>0</v>
      </c>
      <c r="Y21" s="64">
        <v>-0.36892846902482501</v>
      </c>
      <c r="Z21" s="64">
        <v>0</v>
      </c>
      <c r="AA21" s="64">
        <v>0.29048253025794579</v>
      </c>
      <c r="AB21" s="64">
        <v>6.6698731929133279</v>
      </c>
      <c r="AC21" s="64">
        <v>155.65470670049103</v>
      </c>
      <c r="AD21" s="65">
        <v>937.24291386431582</v>
      </c>
      <c r="AE21" s="64">
        <v>2.1523832078479401</v>
      </c>
      <c r="AF21" s="64">
        <v>82.583432150963475</v>
      </c>
      <c r="AG21" s="64">
        <v>11.14085923546811</v>
      </c>
      <c r="AH21" s="64">
        <v>41.109199158420559</v>
      </c>
      <c r="AI21" s="64">
        <v>46.36380084157944</v>
      </c>
      <c r="AJ21" s="64">
        <v>112.78205800825619</v>
      </c>
      <c r="AK21" s="64">
        <v>2.3783804025793556</v>
      </c>
      <c r="AL21" s="64">
        <v>-1.7439163061361</v>
      </c>
      <c r="AM21" s="64">
        <v>-2.0981068481911507</v>
      </c>
      <c r="AN21" s="64">
        <v>9.1669565867338029E-2</v>
      </c>
      <c r="AO21" s="64">
        <v>1.9936623942657734</v>
      </c>
      <c r="AP21" s="64">
        <v>5.4104830000000002</v>
      </c>
      <c r="AQ21" s="64" t="s">
        <v>330</v>
      </c>
      <c r="AR21" s="64" t="s">
        <v>330</v>
      </c>
      <c r="AS21" s="64">
        <v>5.4104830000000002</v>
      </c>
      <c r="AT21" s="64">
        <v>1.143209904770615</v>
      </c>
      <c r="AU21" s="64">
        <v>46.36380084157944</v>
      </c>
      <c r="AV21" s="64">
        <v>46.36380084157944</v>
      </c>
      <c r="AW21" s="66">
        <v>0.37222222222222223</v>
      </c>
    </row>
    <row r="22" spans="2:49" ht="15" customHeight="1" thickBot="1" x14ac:dyDescent="0.3">
      <c r="B22" s="57" t="s">
        <v>422</v>
      </c>
      <c r="C22" s="58" t="s">
        <v>423</v>
      </c>
      <c r="D22" s="59"/>
      <c r="E22" s="130"/>
      <c r="F22" s="130"/>
      <c r="G22" s="130"/>
      <c r="H22" s="130"/>
      <c r="I22" s="130"/>
      <c r="J22" s="130"/>
      <c r="K22" s="130"/>
      <c r="L22" s="130"/>
      <c r="M22" s="130"/>
      <c r="N22" s="59" t="s">
        <v>89</v>
      </c>
      <c r="O22" s="60">
        <v>97.049687193461565</v>
      </c>
      <c r="P22" s="61">
        <v>311.90357402504958</v>
      </c>
      <c r="Q22" s="61">
        <v>39.367328406945717</v>
      </c>
      <c r="R22" s="62" t="s">
        <v>1013</v>
      </c>
      <c r="S22" s="63">
        <v>7.600758535080239E-2</v>
      </c>
      <c r="T22" s="64">
        <v>5.3357957072728578E-2</v>
      </c>
      <c r="U22" s="64">
        <v>6.8613034797219566E-3</v>
      </c>
      <c r="V22" s="64">
        <v>5.7179123992566021E-2</v>
      </c>
      <c r="W22" s="64">
        <v>1.1616558863548562E-2</v>
      </c>
      <c r="X22" s="64">
        <v>6.069875218357515E-4</v>
      </c>
      <c r="Y22" s="64">
        <v>-2.2781574957797316E-2</v>
      </c>
      <c r="Z22" s="64">
        <v>-5.3149131651800588E-2</v>
      </c>
      <c r="AA22" s="64">
        <v>2.1368950032632571E-2</v>
      </c>
      <c r="AB22" s="64">
        <v>-0.41660392550514824</v>
      </c>
      <c r="AC22" s="64">
        <v>0</v>
      </c>
      <c r="AD22" s="65">
        <v>97049.687193461563</v>
      </c>
      <c r="AE22" s="64">
        <v>0.3539830182927961</v>
      </c>
      <c r="AF22" s="64">
        <v>96.838523174122017</v>
      </c>
      <c r="AG22" s="64">
        <v>0.21116401933955783</v>
      </c>
      <c r="AH22" s="64">
        <v>70.200831701812902</v>
      </c>
      <c r="AI22" s="64">
        <v>27.25549059901418</v>
      </c>
      <c r="AJ22" s="64">
        <v>38.826309606271245</v>
      </c>
      <c r="AK22" s="64">
        <v>0.4066110730871435</v>
      </c>
      <c r="AL22" s="64">
        <v>-0.37548589204117888</v>
      </c>
      <c r="AM22" s="64">
        <v>-0.49060959815164096</v>
      </c>
      <c r="AN22" s="64">
        <v>-0.69978412669908518</v>
      </c>
      <c r="AO22" s="64">
        <v>0.3852955158753657</v>
      </c>
      <c r="AP22" s="64">
        <v>6.4292990000000003</v>
      </c>
      <c r="AQ22" s="64" t="s">
        <v>330</v>
      </c>
      <c r="AR22" s="64" t="s">
        <v>330</v>
      </c>
      <c r="AS22" s="64">
        <v>6.4292990000000003</v>
      </c>
      <c r="AT22" s="64">
        <v>0</v>
      </c>
      <c r="AU22" s="64">
        <v>0</v>
      </c>
      <c r="AV22" s="64">
        <v>0</v>
      </c>
      <c r="AW22" s="66">
        <v>0</v>
      </c>
    </row>
    <row r="23" spans="2:49" ht="15" customHeight="1" thickBot="1" x14ac:dyDescent="0.3">
      <c r="B23" s="57" t="s">
        <v>424</v>
      </c>
      <c r="C23" s="58" t="s">
        <v>425</v>
      </c>
      <c r="D23" s="59"/>
      <c r="E23" s="130"/>
      <c r="F23" s="130"/>
      <c r="G23" s="130"/>
      <c r="H23" s="130"/>
      <c r="I23" s="130"/>
      <c r="J23" s="130"/>
      <c r="K23" s="130"/>
      <c r="L23" s="130"/>
      <c r="M23" s="130"/>
      <c r="N23" s="59" t="s">
        <v>89</v>
      </c>
      <c r="O23" s="60">
        <v>138.59451537175653</v>
      </c>
      <c r="P23" s="61">
        <v>208.86908546883717</v>
      </c>
      <c r="Q23" s="61">
        <v>55.881332857519915</v>
      </c>
      <c r="R23" s="62" t="s">
        <v>1013</v>
      </c>
      <c r="S23" s="63">
        <v>0.72629798851648308</v>
      </c>
      <c r="T23" s="64">
        <v>0.92239317975551693</v>
      </c>
      <c r="U23" s="64">
        <v>2.310987959992219E-3</v>
      </c>
      <c r="V23" s="64">
        <v>0.23714233575894922</v>
      </c>
      <c r="W23" s="64">
        <v>8.1326147463414607E-3</v>
      </c>
      <c r="X23" s="64">
        <v>0</v>
      </c>
      <c r="Y23" s="64">
        <v>-0.24118860429598127</v>
      </c>
      <c r="Z23" s="64">
        <v>0</v>
      </c>
      <c r="AA23" s="64">
        <v>1.597602491924854E-2</v>
      </c>
      <c r="AB23" s="64">
        <v>-1.4758770379598269</v>
      </c>
      <c r="AC23" s="64">
        <v>144.48703595932005</v>
      </c>
      <c r="AD23" s="65">
        <v>1385.9451537175655</v>
      </c>
      <c r="AE23" s="64">
        <v>0.44004462337222333</v>
      </c>
      <c r="AF23" s="64">
        <v>88.693829139273504</v>
      </c>
      <c r="AG23" s="64">
        <v>49.900686232483054</v>
      </c>
      <c r="AH23" s="64">
        <v>127.13754383148193</v>
      </c>
      <c r="AI23" s="64">
        <v>13.502456168518052</v>
      </c>
      <c r="AJ23" s="64">
        <v>10.620353171534653</v>
      </c>
      <c r="AK23" s="64">
        <v>0.69532592470231003</v>
      </c>
      <c r="AL23" s="64">
        <v>-0.43320340049467632</v>
      </c>
      <c r="AM23" s="64">
        <v>-0.86113129669342925</v>
      </c>
      <c r="AN23" s="64">
        <v>1.4824855077096999E-2</v>
      </c>
      <c r="AO23" s="64">
        <v>0.30802289568734098</v>
      </c>
      <c r="AP23" s="64">
        <v>-11.562932999999999</v>
      </c>
      <c r="AQ23" s="64" t="s">
        <v>330</v>
      </c>
      <c r="AR23" s="64" t="s">
        <v>330</v>
      </c>
      <c r="AS23" s="64">
        <v>-11.562932999999999</v>
      </c>
      <c r="AT23" s="64">
        <v>1.5998293515358364</v>
      </c>
      <c r="AU23" s="64">
        <v>6.0010916304524677</v>
      </c>
      <c r="AV23" s="64">
        <v>6.0010916304524677</v>
      </c>
      <c r="AW23" s="66">
        <v>8.7500000000000008E-2</v>
      </c>
    </row>
    <row r="24" spans="2:49" ht="15" customHeight="1" thickBot="1" x14ac:dyDescent="0.3">
      <c r="B24" s="57" t="s">
        <v>294</v>
      </c>
      <c r="C24" s="58" t="s">
        <v>332</v>
      </c>
      <c r="D24" s="59"/>
      <c r="E24" s="130"/>
      <c r="F24" s="130"/>
      <c r="G24" s="130"/>
      <c r="H24" s="130"/>
      <c r="I24" s="130"/>
      <c r="J24" s="130"/>
      <c r="K24" s="130"/>
      <c r="L24" s="130"/>
      <c r="M24" s="130"/>
      <c r="N24" s="59" t="s">
        <v>89</v>
      </c>
      <c r="O24" s="60">
        <v>144.10232271277323</v>
      </c>
      <c r="P24" s="61">
        <v>290.95036111446211</v>
      </c>
      <c r="Q24" s="61">
        <v>75.348169473130554</v>
      </c>
      <c r="R24" s="62" t="s">
        <v>1013</v>
      </c>
      <c r="S24" s="63">
        <v>0.83756283612934002</v>
      </c>
      <c r="T24" s="64">
        <v>1.0160264444105624</v>
      </c>
      <c r="U24" s="64">
        <v>1.8831414221358819E-3</v>
      </c>
      <c r="V24" s="64">
        <v>0.53365385538368171</v>
      </c>
      <c r="W24" s="64">
        <v>-4.7948364059948291E-3</v>
      </c>
      <c r="X24" s="64">
        <v>0</v>
      </c>
      <c r="Y24" s="64">
        <v>-1.6444138921866047</v>
      </c>
      <c r="Z24" s="64">
        <v>0</v>
      </c>
      <c r="AA24" s="64">
        <v>0.10010395803049695</v>
      </c>
      <c r="AB24" s="64">
        <v>-2.2072352668225395</v>
      </c>
      <c r="AC24" s="64">
        <v>151.06394979792498</v>
      </c>
      <c r="AD24" s="65">
        <v>1441.0232271277323</v>
      </c>
      <c r="AE24" s="64">
        <v>0.26017744186477137</v>
      </c>
      <c r="AF24" s="64">
        <v>70.907263586671874</v>
      </c>
      <c r="AG24" s="64">
        <v>73.195059126101356</v>
      </c>
      <c r="AH24" s="64">
        <v>121.6610777709961</v>
      </c>
      <c r="AI24" s="64">
        <v>25.621922229003886</v>
      </c>
      <c r="AJ24" s="64">
        <v>21.060081579445068</v>
      </c>
      <c r="AK24" s="64">
        <v>3.5252880155711268</v>
      </c>
      <c r="AL24" s="64">
        <v>-1.890261510114442</v>
      </c>
      <c r="AM24" s="64">
        <v>-3.0566473473768383</v>
      </c>
      <c r="AN24" s="64">
        <v>8.8439991303776833E-2</v>
      </c>
      <c r="AO24" s="64">
        <v>1.2834213793271743</v>
      </c>
      <c r="AP24" s="64">
        <v>-7.9919830000000003</v>
      </c>
      <c r="AQ24" s="64" t="s">
        <v>330</v>
      </c>
      <c r="AR24" s="64" t="s">
        <v>330</v>
      </c>
      <c r="AS24" s="64">
        <v>-7.9919830000000003</v>
      </c>
      <c r="AT24" s="64">
        <v>0</v>
      </c>
      <c r="AU24" s="64">
        <v>0</v>
      </c>
      <c r="AV24" s="64">
        <v>0</v>
      </c>
      <c r="AW24" s="66">
        <v>0</v>
      </c>
    </row>
    <row r="25" spans="2:49" ht="15" customHeight="1" thickBot="1" x14ac:dyDescent="0.3">
      <c r="B25" s="57" t="s">
        <v>295</v>
      </c>
      <c r="C25" s="58" t="s">
        <v>333</v>
      </c>
      <c r="D25" s="59"/>
      <c r="E25" s="130"/>
      <c r="F25" s="130"/>
      <c r="G25" s="130"/>
      <c r="H25" s="130"/>
      <c r="I25" s="130"/>
      <c r="J25" s="130"/>
      <c r="K25" s="130"/>
      <c r="L25" s="130"/>
      <c r="M25" s="130"/>
      <c r="N25" s="59" t="s">
        <v>89</v>
      </c>
      <c r="O25" s="60">
        <v>98.156580078978081</v>
      </c>
      <c r="P25" s="61">
        <v>75.613395965528895</v>
      </c>
      <c r="Q25" s="61">
        <v>32.425603732868403</v>
      </c>
      <c r="R25" s="62" t="s">
        <v>1013</v>
      </c>
      <c r="S25" s="63">
        <v>0.17867717309663222</v>
      </c>
      <c r="T25" s="64">
        <v>0.14841143559875314</v>
      </c>
      <c r="U25" s="64">
        <v>1.5994992416623631E-2</v>
      </c>
      <c r="V25" s="64">
        <v>0.17128578981898385</v>
      </c>
      <c r="W25" s="64">
        <v>4.3706959329028903E-3</v>
      </c>
      <c r="X25" s="64">
        <v>0.2474324807408598</v>
      </c>
      <c r="Y25" s="64">
        <v>-9.0838436637907027E-2</v>
      </c>
      <c r="Z25" s="64">
        <v>0</v>
      </c>
      <c r="AA25" s="64">
        <v>8.0875149138107515E-3</v>
      </c>
      <c r="AB25" s="64">
        <v>-2.4699514989939564</v>
      </c>
      <c r="AC25" s="64">
        <v>0</v>
      </c>
      <c r="AD25" s="65">
        <v>981.56580078978072</v>
      </c>
      <c r="AE25" s="64">
        <v>0.10401286913383818</v>
      </c>
      <c r="AF25" s="64">
        <v>97.336735942755197</v>
      </c>
      <c r="AG25" s="64">
        <v>0.81984413622287777</v>
      </c>
      <c r="AH25" s="64">
        <v>83.061217628784178</v>
      </c>
      <c r="AI25" s="64">
        <v>17.519782371215825</v>
      </c>
      <c r="AJ25" s="64">
        <v>21.092614425079763</v>
      </c>
      <c r="AK25" s="64">
        <v>0.65699573974699232</v>
      </c>
      <c r="AL25" s="64">
        <v>-0.56249194090901256</v>
      </c>
      <c r="AM25" s="64">
        <v>-0.80097062246920814</v>
      </c>
      <c r="AN25" s="64">
        <v>-0.7977958708199353</v>
      </c>
      <c r="AO25" s="64">
        <v>0.55924274058620671</v>
      </c>
      <c r="AP25" s="64">
        <v>2.7317819999999999</v>
      </c>
      <c r="AQ25" s="64" t="s">
        <v>330</v>
      </c>
      <c r="AR25" s="64" t="s">
        <v>330</v>
      </c>
      <c r="AS25" s="64">
        <v>2.7317819999999999</v>
      </c>
      <c r="AT25" s="64">
        <v>3.6040604090235728</v>
      </c>
      <c r="AU25" s="64">
        <v>17.495688886643972</v>
      </c>
      <c r="AV25" s="64">
        <v>12.058504066689386</v>
      </c>
      <c r="AW25" s="66">
        <v>1.208333333333333</v>
      </c>
    </row>
    <row r="26" spans="2:49" ht="15" customHeight="1" thickBot="1" x14ac:dyDescent="0.3">
      <c r="B26" s="57" t="s">
        <v>426</v>
      </c>
      <c r="C26" s="58" t="s">
        <v>427</v>
      </c>
      <c r="D26" s="59"/>
      <c r="E26" s="130"/>
      <c r="F26" s="130"/>
      <c r="G26" s="130"/>
      <c r="H26" s="130"/>
      <c r="I26" s="130"/>
      <c r="J26" s="130"/>
      <c r="K26" s="130"/>
      <c r="L26" s="130"/>
      <c r="M26" s="130"/>
      <c r="N26" s="59" t="s">
        <v>89</v>
      </c>
      <c r="O26" s="60">
        <v>296.47796667364128</v>
      </c>
      <c r="P26" s="61" t="s">
        <v>330</v>
      </c>
      <c r="Q26" s="61" t="s">
        <v>330</v>
      </c>
      <c r="R26" s="62" t="s">
        <v>1013</v>
      </c>
      <c r="S26" s="63" t="s">
        <v>330</v>
      </c>
      <c r="T26" s="64" t="s">
        <v>330</v>
      </c>
      <c r="U26" s="64" t="s">
        <v>330</v>
      </c>
      <c r="V26" s="64" t="s">
        <v>330</v>
      </c>
      <c r="W26" s="64" t="s">
        <v>330</v>
      </c>
      <c r="X26" s="64" t="s">
        <v>330</v>
      </c>
      <c r="Y26" s="64" t="s">
        <v>330</v>
      </c>
      <c r="Z26" s="64" t="s">
        <v>330</v>
      </c>
      <c r="AA26" s="64" t="s">
        <v>330</v>
      </c>
      <c r="AB26" s="64">
        <v>-3.7598184618654038</v>
      </c>
      <c r="AC26" s="64">
        <v>148.72753675154271</v>
      </c>
      <c r="AD26" s="65">
        <v>2964.7796667364128</v>
      </c>
      <c r="AE26" s="64">
        <v>0.43677826339776493</v>
      </c>
      <c r="AF26" s="64">
        <v>86.489645936985156</v>
      </c>
      <c r="AG26" s="64">
        <v>209.98832073665614</v>
      </c>
      <c r="AH26" s="64">
        <v>295.90127756347658</v>
      </c>
      <c r="AI26" s="64">
        <v>11.723722436523417</v>
      </c>
      <c r="AJ26" s="64">
        <v>3.9620384653487855</v>
      </c>
      <c r="AK26" s="64">
        <v>1.1269002199263818</v>
      </c>
      <c r="AL26" s="64">
        <v>-1.9882511689957028E-3</v>
      </c>
      <c r="AM26" s="64">
        <v>-3.5158624286850682E-3</v>
      </c>
      <c r="AN26" s="64">
        <v>-2.4849348623373814E-4</v>
      </c>
      <c r="AO26" s="64">
        <v>6.7062358505188397E-4</v>
      </c>
      <c r="AP26" s="64">
        <v>-45.472180999999999</v>
      </c>
      <c r="AQ26" s="64" t="s">
        <v>330</v>
      </c>
      <c r="AR26" s="64" t="s">
        <v>330</v>
      </c>
      <c r="AS26" s="64">
        <v>-45.472180999999999</v>
      </c>
      <c r="AT26" s="64">
        <v>0.16253555465258024</v>
      </c>
      <c r="AU26" s="64">
        <v>23.44744487304688</v>
      </c>
      <c r="AV26" s="64">
        <v>23.44744487304688</v>
      </c>
      <c r="AW26" s="66">
        <v>0.16666666666666666</v>
      </c>
    </row>
    <row r="27" spans="2:49" ht="15" customHeight="1" thickBot="1" x14ac:dyDescent="0.3">
      <c r="B27" s="57" t="s">
        <v>428</v>
      </c>
      <c r="C27" s="58" t="s">
        <v>429</v>
      </c>
      <c r="D27" s="59"/>
      <c r="E27" s="130"/>
      <c r="F27" s="130"/>
      <c r="G27" s="130"/>
      <c r="H27" s="130"/>
      <c r="I27" s="130"/>
      <c r="J27" s="130"/>
      <c r="K27" s="130"/>
      <c r="L27" s="130"/>
      <c r="M27" s="130"/>
      <c r="N27" s="59" t="s">
        <v>89</v>
      </c>
      <c r="O27" s="60">
        <v>131.12198316765446</v>
      </c>
      <c r="P27" s="61">
        <v>338.77138010635332</v>
      </c>
      <c r="Q27" s="61">
        <v>35.074627118916283</v>
      </c>
      <c r="R27" s="62" t="s">
        <v>1013</v>
      </c>
      <c r="S27" s="63">
        <v>0.78726839238426227</v>
      </c>
      <c r="T27" s="64">
        <v>0.78094981405586905</v>
      </c>
      <c r="U27" s="64">
        <v>2.9769069868133399E-3</v>
      </c>
      <c r="V27" s="64">
        <v>0.73641195335916709</v>
      </c>
      <c r="W27" s="64">
        <v>-2.560978090018034E-3</v>
      </c>
      <c r="X27" s="64">
        <v>0</v>
      </c>
      <c r="Y27" s="64">
        <v>-2.2358177733365454</v>
      </c>
      <c r="Z27" s="64">
        <v>0</v>
      </c>
      <c r="AA27" s="64">
        <v>0.18586530627090384</v>
      </c>
      <c r="AB27" s="64">
        <v>8.6941814730473421</v>
      </c>
      <c r="AC27" s="64">
        <v>145.31377195611088</v>
      </c>
      <c r="AD27" s="65">
        <v>1311219.8316765446</v>
      </c>
      <c r="AE27" s="64">
        <v>12.636728382781051</v>
      </c>
      <c r="AF27" s="64">
        <v>84.518779887236974</v>
      </c>
      <c r="AG27" s="64">
        <v>46.603203280417496</v>
      </c>
      <c r="AH27" s="64">
        <v>99.197404800000001</v>
      </c>
      <c r="AI27" s="64">
        <v>20.524597955398548</v>
      </c>
      <c r="AJ27" s="64">
        <v>20.690660775743115</v>
      </c>
      <c r="AK27" s="64">
        <v>5.1051038633899992</v>
      </c>
      <c r="AL27" s="64">
        <v>-2.2061961556242311</v>
      </c>
      <c r="AM27" s="64">
        <v>-3.8905820967212783</v>
      </c>
      <c r="AN27" s="64">
        <v>0.13738492863402957</v>
      </c>
      <c r="AO27" s="64">
        <v>1.8427658706204635</v>
      </c>
      <c r="AP27" s="64">
        <v>-2.6400329999999999</v>
      </c>
      <c r="AQ27" s="64" t="s">
        <v>330</v>
      </c>
      <c r="AR27" s="64">
        <v>-3.7357643912934946</v>
      </c>
      <c r="AS27" s="64">
        <v>-2.6400329999999999</v>
      </c>
      <c r="AT27" s="64">
        <v>0</v>
      </c>
      <c r="AU27" s="64">
        <v>0</v>
      </c>
      <c r="AV27" s="64">
        <v>0</v>
      </c>
      <c r="AW27" s="66">
        <v>0</v>
      </c>
    </row>
    <row r="28" spans="2:49" ht="15" customHeight="1" thickBot="1" x14ac:dyDescent="0.3">
      <c r="B28" s="57" t="s">
        <v>291</v>
      </c>
      <c r="C28" s="58" t="s">
        <v>334</v>
      </c>
      <c r="D28" s="59"/>
      <c r="E28" s="130"/>
      <c r="F28" s="130"/>
      <c r="G28" s="130"/>
      <c r="H28" s="130"/>
      <c r="I28" s="130"/>
      <c r="J28" s="130"/>
      <c r="K28" s="130"/>
      <c r="L28" s="130"/>
      <c r="M28" s="130"/>
      <c r="N28" s="59" t="s">
        <v>89</v>
      </c>
      <c r="O28" s="60">
        <v>180.16323619548808</v>
      </c>
      <c r="P28" s="61" t="s">
        <v>330</v>
      </c>
      <c r="Q28" s="61">
        <v>26.533125242695789</v>
      </c>
      <c r="R28" s="62" t="s">
        <v>1013</v>
      </c>
      <c r="S28" s="63" t="s">
        <v>330</v>
      </c>
      <c r="T28" s="64" t="s">
        <v>330</v>
      </c>
      <c r="U28" s="64" t="s">
        <v>330</v>
      </c>
      <c r="V28" s="64" t="s">
        <v>330</v>
      </c>
      <c r="W28" s="64" t="s">
        <v>330</v>
      </c>
      <c r="X28" s="64" t="s">
        <v>330</v>
      </c>
      <c r="Y28" s="64" t="s">
        <v>330</v>
      </c>
      <c r="Z28" s="64" t="s">
        <v>330</v>
      </c>
      <c r="AA28" s="64" t="s">
        <v>330</v>
      </c>
      <c r="AB28" s="64">
        <v>5.9186526733555382</v>
      </c>
      <c r="AC28" s="64">
        <v>142.95117148237244</v>
      </c>
      <c r="AD28" s="65">
        <v>1801.6323619548807</v>
      </c>
      <c r="AE28" s="64">
        <v>0.87171697593391828</v>
      </c>
      <c r="AF28" s="64">
        <v>88.308824983062081</v>
      </c>
      <c r="AG28" s="64">
        <v>91.854411212425987</v>
      </c>
      <c r="AH28" s="64">
        <v>165.87056591491702</v>
      </c>
      <c r="AI28" s="64">
        <v>3.6294340850829769</v>
      </c>
      <c r="AJ28" s="64">
        <v>2.1881121976425209</v>
      </c>
      <c r="AK28" s="64">
        <v>3.8874341420711698</v>
      </c>
      <c r="AL28" s="64">
        <v>-1.4255853819722688</v>
      </c>
      <c r="AM28" s="64">
        <v>-4.1769865353498972</v>
      </c>
      <c r="AN28" s="64">
        <v>9.1452813131262314E-2</v>
      </c>
      <c r="AO28" s="64">
        <v>0.79127429772932245</v>
      </c>
      <c r="AP28" s="64">
        <v>-8.7852010000000007</v>
      </c>
      <c r="AQ28" s="64" t="s">
        <v>330</v>
      </c>
      <c r="AR28" s="64">
        <v>-13.66507</v>
      </c>
      <c r="AS28" s="64">
        <v>-8.7852010000000007</v>
      </c>
      <c r="AT28" s="64">
        <v>0.29498525073746312</v>
      </c>
      <c r="AU28" s="64">
        <v>0</v>
      </c>
      <c r="AV28" s="64">
        <v>0</v>
      </c>
      <c r="AW28" s="66">
        <v>0.18611111111111112</v>
      </c>
    </row>
    <row r="29" spans="2:49" ht="15" customHeight="1" thickBot="1" x14ac:dyDescent="0.3">
      <c r="B29" s="57" t="s">
        <v>430</v>
      </c>
      <c r="C29" s="58" t="s">
        <v>431</v>
      </c>
      <c r="D29" s="59"/>
      <c r="E29" s="130"/>
      <c r="F29" s="130"/>
      <c r="G29" s="130"/>
      <c r="H29" s="130"/>
      <c r="I29" s="130"/>
      <c r="J29" s="130"/>
      <c r="K29" s="130"/>
      <c r="L29" s="130"/>
      <c r="M29" s="130"/>
      <c r="N29" s="59" t="s">
        <v>89</v>
      </c>
      <c r="O29" s="60">
        <v>99.202859141298816</v>
      </c>
      <c r="P29" s="61" t="s">
        <v>330</v>
      </c>
      <c r="Q29" s="61">
        <v>30.133493056416615</v>
      </c>
      <c r="R29" s="62" t="s">
        <v>1013</v>
      </c>
      <c r="S29" s="63" t="s">
        <v>330</v>
      </c>
      <c r="T29" s="64" t="s">
        <v>330</v>
      </c>
      <c r="U29" s="64" t="s">
        <v>330</v>
      </c>
      <c r="V29" s="64" t="s">
        <v>330</v>
      </c>
      <c r="W29" s="64" t="s">
        <v>330</v>
      </c>
      <c r="X29" s="64" t="s">
        <v>330</v>
      </c>
      <c r="Y29" s="64" t="s">
        <v>330</v>
      </c>
      <c r="Z29" s="64" t="s">
        <v>330</v>
      </c>
      <c r="AA29" s="64" t="s">
        <v>330</v>
      </c>
      <c r="AB29" s="64">
        <v>-0.22190979232526914</v>
      </c>
      <c r="AC29" s="64">
        <v>0</v>
      </c>
      <c r="AD29" s="65">
        <v>99202.859141298817</v>
      </c>
      <c r="AE29" s="64">
        <v>1.0208861587475493E-2</v>
      </c>
      <c r="AF29" s="64">
        <v>99.21844874569183</v>
      </c>
      <c r="AG29" s="64">
        <v>-1.5589604393011542E-2</v>
      </c>
      <c r="AH29" s="64">
        <v>81.414735437039695</v>
      </c>
      <c r="AI29" s="64">
        <v>18.008264562960306</v>
      </c>
      <c r="AJ29" s="64">
        <v>22.119171015284579</v>
      </c>
      <c r="AK29" s="64">
        <v>0.28716325470948101</v>
      </c>
      <c r="AL29" s="64">
        <v>-0.284294262005933</v>
      </c>
      <c r="AM29" s="64">
        <v>-0.33135646558861481</v>
      </c>
      <c r="AN29" s="64">
        <v>2.3761073855694931E-3</v>
      </c>
      <c r="AO29" s="64">
        <v>0.28657869789922152</v>
      </c>
      <c r="AP29" s="64">
        <v>2.0174023161260011</v>
      </c>
      <c r="AQ29" s="64" t="s">
        <v>330</v>
      </c>
      <c r="AR29" s="64" t="s">
        <v>330</v>
      </c>
      <c r="AS29" s="64">
        <v>2.0174023161260011</v>
      </c>
      <c r="AT29" s="64">
        <v>0</v>
      </c>
      <c r="AU29" s="64">
        <v>0</v>
      </c>
      <c r="AV29" s="64">
        <v>0</v>
      </c>
      <c r="AW29" s="66">
        <v>0</v>
      </c>
    </row>
    <row r="30" spans="2:49" ht="15" customHeight="1" thickBot="1" x14ac:dyDescent="0.3">
      <c r="B30" s="57" t="s">
        <v>432</v>
      </c>
      <c r="C30" s="58" t="s">
        <v>433</v>
      </c>
      <c r="D30" s="59"/>
      <c r="E30" s="130"/>
      <c r="F30" s="130"/>
      <c r="G30" s="130"/>
      <c r="H30" s="130"/>
      <c r="I30" s="130"/>
      <c r="J30" s="130"/>
      <c r="K30" s="130"/>
      <c r="L30" s="130"/>
      <c r="M30" s="130"/>
      <c r="N30" s="59" t="s">
        <v>89</v>
      </c>
      <c r="O30" s="60">
        <v>95.404336823464462</v>
      </c>
      <c r="P30" s="61">
        <v>33.792774442040042</v>
      </c>
      <c r="Q30" s="61">
        <v>29.675313322386632</v>
      </c>
      <c r="R30" s="62" t="s">
        <v>1013</v>
      </c>
      <c r="S30" s="63">
        <v>0.37309745859605903</v>
      </c>
      <c r="T30" s="64">
        <v>0.25445045756292128</v>
      </c>
      <c r="U30" s="64">
        <v>6.7172533867147525E-3</v>
      </c>
      <c r="V30" s="64">
        <v>0.53189571393396184</v>
      </c>
      <c r="W30" s="64">
        <v>5.82701130391797E-4</v>
      </c>
      <c r="X30" s="64">
        <v>0.12893000873805707</v>
      </c>
      <c r="Y30" s="64">
        <v>-1.0611604644743027</v>
      </c>
      <c r="Z30" s="64">
        <v>0</v>
      </c>
      <c r="AA30" s="64">
        <v>2.4636097584665711E-2</v>
      </c>
      <c r="AB30" s="64">
        <v>-1.409436112976383</v>
      </c>
      <c r="AC30" s="64">
        <v>0</v>
      </c>
      <c r="AD30" s="65">
        <v>95404.336823464459</v>
      </c>
      <c r="AE30" s="64">
        <v>0.10860028134429811</v>
      </c>
      <c r="AF30" s="64">
        <v>88.464875592803239</v>
      </c>
      <c r="AG30" s="64">
        <v>6.9394612306612258</v>
      </c>
      <c r="AH30" s="64">
        <v>68.199461481298073</v>
      </c>
      <c r="AI30" s="64">
        <v>28.549538518701922</v>
      </c>
      <c r="AJ30" s="64">
        <v>41.861823977203819</v>
      </c>
      <c r="AK30" s="64">
        <v>4.4465540090463307</v>
      </c>
      <c r="AL30" s="64">
        <v>-3.5494781412596783</v>
      </c>
      <c r="AM30" s="64">
        <v>-5.0690997684407924</v>
      </c>
      <c r="AN30" s="64">
        <v>2.7649317584223679E-2</v>
      </c>
      <c r="AO30" s="64">
        <v>3.6687491770040812</v>
      </c>
      <c r="AP30" s="64">
        <v>0.82395687436425946</v>
      </c>
      <c r="AQ30" s="64" t="s">
        <v>330</v>
      </c>
      <c r="AR30" s="64" t="s">
        <v>330</v>
      </c>
      <c r="AS30" s="64">
        <v>0.82395687436425946</v>
      </c>
      <c r="AT30" s="64">
        <v>0.10336024144952402</v>
      </c>
      <c r="AU30" s="64">
        <v>0</v>
      </c>
      <c r="AV30" s="64">
        <v>0</v>
      </c>
      <c r="AW30" s="66">
        <v>4.3333333333333335E-2</v>
      </c>
    </row>
    <row r="31" spans="2:49" ht="15" customHeight="1" thickBot="1" x14ac:dyDescent="0.3">
      <c r="B31" s="57" t="s">
        <v>434</v>
      </c>
      <c r="C31" s="58" t="s">
        <v>435</v>
      </c>
      <c r="D31" s="59"/>
      <c r="E31" s="130"/>
      <c r="F31" s="130"/>
      <c r="G31" s="130"/>
      <c r="H31" s="130"/>
      <c r="I31" s="130"/>
      <c r="J31" s="130"/>
      <c r="K31" s="130"/>
      <c r="L31" s="130"/>
      <c r="M31" s="130"/>
      <c r="N31" s="59" t="s">
        <v>89</v>
      </c>
      <c r="O31" s="60">
        <v>120.86433430366257</v>
      </c>
      <c r="P31" s="61">
        <v>403.16393808514761</v>
      </c>
      <c r="Q31" s="61">
        <v>40.662404101687407</v>
      </c>
      <c r="R31" s="62" t="s">
        <v>1013</v>
      </c>
      <c r="S31" s="63">
        <v>0.74561062268797418</v>
      </c>
      <c r="T31" s="64">
        <v>0.76350568596345514</v>
      </c>
      <c r="U31" s="64">
        <v>6.7878146256550413E-3</v>
      </c>
      <c r="V31" s="64">
        <v>0.55645168989661031</v>
      </c>
      <c r="W31" s="64">
        <v>-6.8883377435558944E-3</v>
      </c>
      <c r="X31" s="64">
        <v>0</v>
      </c>
      <c r="Y31" s="64">
        <v>-1.2882663488154575</v>
      </c>
      <c r="Z31" s="64">
        <v>-0.56445999470956854</v>
      </c>
      <c r="AA31" s="64">
        <v>0.11677956468379475</v>
      </c>
      <c r="AB31" s="64">
        <v>6.0674891468255589E-2</v>
      </c>
      <c r="AC31" s="64">
        <v>0</v>
      </c>
      <c r="AD31" s="65">
        <v>120864.33430366257</v>
      </c>
      <c r="AE31" s="64">
        <v>11.598036353851086</v>
      </c>
      <c r="AF31" s="64">
        <v>94.313460475703195</v>
      </c>
      <c r="AG31" s="64">
        <v>26.550873827959382</v>
      </c>
      <c r="AH31" s="64">
        <v>102.40562503053785</v>
      </c>
      <c r="AI31" s="64">
        <v>18.388667534032336</v>
      </c>
      <c r="AJ31" s="64">
        <v>17.957274108129926</v>
      </c>
      <c r="AK31" s="64">
        <v>2.1767204552408996</v>
      </c>
      <c r="AL31" s="64">
        <v>-1.3089551330578979</v>
      </c>
      <c r="AM31" s="64">
        <v>-2.3030145952485328</v>
      </c>
      <c r="AN31" s="64">
        <v>0.10903231312094575</v>
      </c>
      <c r="AO31" s="64">
        <v>1.0836528657415685</v>
      </c>
      <c r="AP31" s="64">
        <v>-4.8017615147464205</v>
      </c>
      <c r="AQ31" s="64" t="s">
        <v>330</v>
      </c>
      <c r="AR31" s="64" t="s">
        <v>330</v>
      </c>
      <c r="AS31" s="64">
        <v>-4.8017615147464205</v>
      </c>
      <c r="AT31" s="64">
        <v>2.8975668717040177</v>
      </c>
      <c r="AU31" s="64">
        <v>5.2529642769891858</v>
      </c>
      <c r="AV31" s="64">
        <v>5.2529642769891858</v>
      </c>
      <c r="AW31" s="66">
        <v>0.50407608695652173</v>
      </c>
    </row>
    <row r="32" spans="2:49" ht="15" customHeight="1" thickBot="1" x14ac:dyDescent="0.3">
      <c r="B32" s="57" t="s">
        <v>436</v>
      </c>
      <c r="C32" s="58" t="s">
        <v>437</v>
      </c>
      <c r="D32" s="59"/>
      <c r="E32" s="130"/>
      <c r="F32" s="130"/>
      <c r="G32" s="130"/>
      <c r="H32" s="130"/>
      <c r="I32" s="130"/>
      <c r="J32" s="130"/>
      <c r="K32" s="130"/>
      <c r="L32" s="130"/>
      <c r="M32" s="130"/>
      <c r="N32" s="59" t="s">
        <v>89</v>
      </c>
      <c r="O32" s="60">
        <v>99.372588356615637</v>
      </c>
      <c r="P32" s="61">
        <v>305.42397713244486</v>
      </c>
      <c r="Q32" s="61">
        <v>66.669485714300933</v>
      </c>
      <c r="R32" s="62" t="s">
        <v>1013</v>
      </c>
      <c r="S32" s="63">
        <v>0.50868823458659385</v>
      </c>
      <c r="T32" s="64">
        <v>0.2992414066153028</v>
      </c>
      <c r="U32" s="64">
        <v>3.4477289840006932E-3</v>
      </c>
      <c r="V32" s="64">
        <v>0.29773498249030012</v>
      </c>
      <c r="W32" s="64">
        <v>5.4751903451574439E-3</v>
      </c>
      <c r="X32" s="64">
        <v>0</v>
      </c>
      <c r="Y32" s="64">
        <v>-0.49647748354044946</v>
      </c>
      <c r="Z32" s="64">
        <v>0</v>
      </c>
      <c r="AA32" s="64">
        <v>0.12506681618902674</v>
      </c>
      <c r="AB32" s="64">
        <v>-2.5071417425935638</v>
      </c>
      <c r="AC32" s="64">
        <v>147.66808784398771</v>
      </c>
      <c r="AD32" s="65">
        <v>993.72588356615643</v>
      </c>
      <c r="AE32" s="64">
        <v>0.52420310732110609</v>
      </c>
      <c r="AF32" s="64">
        <v>85.323965377874913</v>
      </c>
      <c r="AG32" s="64">
        <v>14.048622978740729</v>
      </c>
      <c r="AH32" s="64">
        <v>58.826091556549066</v>
      </c>
      <c r="AI32" s="64">
        <v>43.037908443450938</v>
      </c>
      <c r="AJ32" s="64">
        <v>73.161257708374066</v>
      </c>
      <c r="AK32" s="64">
        <v>2.6324009166898144</v>
      </c>
      <c r="AL32" s="64">
        <v>-2.0110782920338579</v>
      </c>
      <c r="AM32" s="64">
        <v>-2.7231436980588342</v>
      </c>
      <c r="AN32" s="64">
        <v>-0.61265414117594019</v>
      </c>
      <c r="AO32" s="64">
        <v>1.9742777546865016</v>
      </c>
      <c r="AP32" s="64">
        <v>1.6653500000000001</v>
      </c>
      <c r="AQ32" s="64" t="s">
        <v>330</v>
      </c>
      <c r="AR32" s="64" t="s">
        <v>330</v>
      </c>
      <c r="AS32" s="64">
        <v>1.6653500000000001</v>
      </c>
      <c r="AT32" s="64">
        <v>2.2088274562161314</v>
      </c>
      <c r="AU32" s="64">
        <v>19.127959308200413</v>
      </c>
      <c r="AV32" s="64">
        <v>19.127959308200413</v>
      </c>
      <c r="AW32" s="66">
        <v>0.46249999999999997</v>
      </c>
    </row>
    <row r="33" spans="2:49" ht="15" customHeight="1" thickBot="1" x14ac:dyDescent="0.3">
      <c r="B33" s="57" t="s">
        <v>438</v>
      </c>
      <c r="C33" s="58" t="s">
        <v>439</v>
      </c>
      <c r="D33" s="59"/>
      <c r="E33" s="130"/>
      <c r="F33" s="130"/>
      <c r="G33" s="130"/>
      <c r="H33" s="130"/>
      <c r="I33" s="130"/>
      <c r="J33" s="130"/>
      <c r="K33" s="130"/>
      <c r="L33" s="130"/>
      <c r="M33" s="130"/>
      <c r="N33" s="59" t="s">
        <v>89</v>
      </c>
      <c r="O33" s="60">
        <v>145.47279018338716</v>
      </c>
      <c r="P33" s="61">
        <v>186.07421405266709</v>
      </c>
      <c r="Q33" s="61">
        <v>63.83291200045057</v>
      </c>
      <c r="R33" s="62" t="s">
        <v>1013</v>
      </c>
      <c r="S33" s="63">
        <v>0.81753226117344913</v>
      </c>
      <c r="T33" s="64">
        <v>1.0927552834148964</v>
      </c>
      <c r="U33" s="64">
        <v>4.2267418084238955E-3</v>
      </c>
      <c r="V33" s="64">
        <v>0.44495095170608467</v>
      </c>
      <c r="W33" s="64">
        <v>-8.5048561471012356E-3</v>
      </c>
      <c r="X33" s="64">
        <v>0</v>
      </c>
      <c r="Y33" s="64">
        <v>-0.97069789273982487</v>
      </c>
      <c r="Z33" s="64">
        <v>0</v>
      </c>
      <c r="AA33" s="64">
        <v>2.7269992034838472E-2</v>
      </c>
      <c r="AB33" s="64">
        <v>-2.1964312450354959</v>
      </c>
      <c r="AC33" s="64">
        <v>0</v>
      </c>
      <c r="AD33" s="65">
        <v>1454.7279018338718</v>
      </c>
      <c r="AE33" s="64">
        <v>1.9142603709061636</v>
      </c>
      <c r="AF33" s="64">
        <v>93.433539916317258</v>
      </c>
      <c r="AG33" s="64">
        <v>52.039250267069903</v>
      </c>
      <c r="AH33" s="64">
        <v>133.66509620628358</v>
      </c>
      <c r="AI33" s="64">
        <v>15.002903793716428</v>
      </c>
      <c r="AJ33" s="64">
        <v>11.224249426015184</v>
      </c>
      <c r="AK33" s="64">
        <v>1.3806263216856338</v>
      </c>
      <c r="AL33" s="64">
        <v>-0.5546766187439971</v>
      </c>
      <c r="AM33" s="64">
        <v>-1.5701890948994333</v>
      </c>
      <c r="AN33" s="64">
        <v>-0.59069805703679157</v>
      </c>
      <c r="AO33" s="64">
        <v>0.37309751845992217</v>
      </c>
      <c r="AP33" s="64">
        <v>-24.243015</v>
      </c>
      <c r="AQ33" s="64" t="s">
        <v>330</v>
      </c>
      <c r="AR33" s="64" t="s">
        <v>330</v>
      </c>
      <c r="AS33" s="64">
        <v>-24.243015</v>
      </c>
      <c r="AT33" s="64">
        <v>1.6815992681679983</v>
      </c>
      <c r="AU33" s="64">
        <v>6.0011615174865707</v>
      </c>
      <c r="AV33" s="64">
        <v>6.0011615174865707</v>
      </c>
      <c r="AW33" s="66">
        <v>0.20833333333333334</v>
      </c>
    </row>
    <row r="34" spans="2:49" ht="15" customHeight="1" thickBot="1" x14ac:dyDescent="0.3">
      <c r="B34" s="57" t="s">
        <v>440</v>
      </c>
      <c r="C34" s="58" t="s">
        <v>441</v>
      </c>
      <c r="D34" s="59"/>
      <c r="E34" s="130"/>
      <c r="F34" s="130"/>
      <c r="G34" s="130"/>
      <c r="H34" s="130"/>
      <c r="I34" s="130"/>
      <c r="J34" s="130"/>
      <c r="K34" s="130"/>
      <c r="L34" s="130"/>
      <c r="M34" s="130"/>
      <c r="N34" s="59" t="s">
        <v>89</v>
      </c>
      <c r="O34" s="60">
        <v>651.9690932011996</v>
      </c>
      <c r="P34" s="61" t="s">
        <v>330</v>
      </c>
      <c r="Q34" s="61" t="s">
        <v>330</v>
      </c>
      <c r="R34" s="62" t="s">
        <v>1013</v>
      </c>
      <c r="S34" s="63" t="s">
        <v>330</v>
      </c>
      <c r="T34" s="64" t="s">
        <v>330</v>
      </c>
      <c r="U34" s="64" t="s">
        <v>330</v>
      </c>
      <c r="V34" s="64" t="s">
        <v>330</v>
      </c>
      <c r="W34" s="64" t="s">
        <v>330</v>
      </c>
      <c r="X34" s="64" t="s">
        <v>330</v>
      </c>
      <c r="Y34" s="64" t="s">
        <v>330</v>
      </c>
      <c r="Z34" s="64" t="s">
        <v>330</v>
      </c>
      <c r="AA34" s="64" t="s">
        <v>330</v>
      </c>
      <c r="AB34" s="64">
        <v>0.89269464793534492</v>
      </c>
      <c r="AC34" s="64">
        <v>164.46278013563472</v>
      </c>
      <c r="AD34" s="65">
        <v>6519.6909320119958</v>
      </c>
      <c r="AE34" s="64">
        <v>5.2957483139582466</v>
      </c>
      <c r="AF34" s="64">
        <v>89.767373227009671</v>
      </c>
      <c r="AG34" s="64">
        <v>562.20171997418993</v>
      </c>
      <c r="AH34" s="64">
        <v>649.87914259391789</v>
      </c>
      <c r="AI34" s="64">
        <v>-3.7301425939178898</v>
      </c>
      <c r="AJ34" s="64">
        <v>-0.57397481307515952</v>
      </c>
      <c r="AK34" s="64">
        <v>0.63512237979721597</v>
      </c>
      <c r="AL34" s="64">
        <v>-4.0562208405845013E-2</v>
      </c>
      <c r="AM34" s="64">
        <v>-0.66759239635211998</v>
      </c>
      <c r="AN34" s="64">
        <v>4.7580606104781183E-4</v>
      </c>
      <c r="AO34" s="64">
        <v>6.221492526077059E-3</v>
      </c>
      <c r="AP34" s="64">
        <v>-58.694597999999999</v>
      </c>
      <c r="AQ34" s="64" t="s">
        <v>330</v>
      </c>
      <c r="AR34" s="64" t="s">
        <v>330</v>
      </c>
      <c r="AS34" s="64">
        <v>-58.694597999999999</v>
      </c>
      <c r="AT34" s="64">
        <v>0.46428919645468764</v>
      </c>
      <c r="AU34" s="64">
        <v>0</v>
      </c>
      <c r="AV34" s="64">
        <v>0</v>
      </c>
      <c r="AW34" s="66">
        <v>1.1166666666666667</v>
      </c>
    </row>
    <row r="35" spans="2:49" ht="15" customHeight="1" thickBot="1" x14ac:dyDescent="0.3">
      <c r="B35" s="57" t="s">
        <v>442</v>
      </c>
      <c r="C35" s="58" t="s">
        <v>443</v>
      </c>
      <c r="D35" s="59"/>
      <c r="E35" s="130"/>
      <c r="F35" s="130"/>
      <c r="G35" s="130"/>
      <c r="H35" s="130"/>
      <c r="I35" s="130"/>
      <c r="J35" s="130"/>
      <c r="K35" s="130"/>
      <c r="L35" s="130"/>
      <c r="M35" s="130"/>
      <c r="N35" s="59" t="s">
        <v>89</v>
      </c>
      <c r="O35" s="60">
        <v>605.4660223106066</v>
      </c>
      <c r="P35" s="61" t="s">
        <v>330</v>
      </c>
      <c r="Q35" s="61" t="s">
        <v>330</v>
      </c>
      <c r="R35" s="62" t="s">
        <v>1013</v>
      </c>
      <c r="S35" s="63" t="s">
        <v>330</v>
      </c>
      <c r="T35" s="64" t="s">
        <v>330</v>
      </c>
      <c r="U35" s="64" t="s">
        <v>330</v>
      </c>
      <c r="V35" s="64" t="s">
        <v>330</v>
      </c>
      <c r="W35" s="64" t="s">
        <v>330</v>
      </c>
      <c r="X35" s="64" t="s">
        <v>330</v>
      </c>
      <c r="Y35" s="64" t="s">
        <v>330</v>
      </c>
      <c r="Z35" s="64" t="s">
        <v>330</v>
      </c>
      <c r="AA35" s="64" t="s">
        <v>330</v>
      </c>
      <c r="AB35" s="64">
        <v>7.7741806436925911</v>
      </c>
      <c r="AC35" s="64">
        <v>164.24338756326381</v>
      </c>
      <c r="AD35" s="65">
        <v>6054.6602231060651</v>
      </c>
      <c r="AE35" s="64">
        <v>4.6918210647519354</v>
      </c>
      <c r="AF35" s="64">
        <v>86.384625356520246</v>
      </c>
      <c r="AG35" s="64">
        <v>519.08139695408636</v>
      </c>
      <c r="AH35" s="64">
        <v>587.84481789360052</v>
      </c>
      <c r="AI35" s="64">
        <v>-29.448817893600562</v>
      </c>
      <c r="AJ35" s="64">
        <v>-5.0096244786376216</v>
      </c>
      <c r="AK35" s="64">
        <v>1.9123112362317078</v>
      </c>
      <c r="AL35" s="64">
        <v>-0.76812306480633197</v>
      </c>
      <c r="AM35" s="64">
        <v>-1.963078533008229</v>
      </c>
      <c r="AN35" s="64">
        <v>7.5994603513738221E-3</v>
      </c>
      <c r="AO35" s="64">
        <v>0.12686476804676608</v>
      </c>
      <c r="AP35" s="64">
        <v>-40.977353000000001</v>
      </c>
      <c r="AQ35" s="64" t="s">
        <v>330</v>
      </c>
      <c r="AR35" s="64" t="s">
        <v>330</v>
      </c>
      <c r="AS35" s="64">
        <v>-40.977353000000001</v>
      </c>
      <c r="AT35" s="64">
        <v>0.53725313218576076</v>
      </c>
      <c r="AU35" s="64">
        <v>0</v>
      </c>
      <c r="AV35" s="64">
        <v>0</v>
      </c>
      <c r="AW35" s="66">
        <v>1.1166666666666667</v>
      </c>
    </row>
    <row r="36" spans="2:49" ht="15" customHeight="1" thickBot="1" x14ac:dyDescent="0.3">
      <c r="B36" s="57" t="s">
        <v>444</v>
      </c>
      <c r="C36" s="58" t="s">
        <v>445</v>
      </c>
      <c r="D36" s="59"/>
      <c r="E36" s="130"/>
      <c r="F36" s="130"/>
      <c r="G36" s="130"/>
      <c r="H36" s="130"/>
      <c r="I36" s="130"/>
      <c r="J36" s="130"/>
      <c r="K36" s="130"/>
      <c r="L36" s="130"/>
      <c r="M36" s="130"/>
      <c r="N36" s="59" t="s">
        <v>89</v>
      </c>
      <c r="O36" s="60">
        <v>105.37955324738019</v>
      </c>
      <c r="P36" s="61">
        <v>80.183269814311132</v>
      </c>
      <c r="Q36" s="61">
        <v>37.108008164388266</v>
      </c>
      <c r="R36" s="62" t="s">
        <v>1013</v>
      </c>
      <c r="S36" s="63">
        <v>0.56140401404514084</v>
      </c>
      <c r="T36" s="64">
        <v>0.43689343622789112</v>
      </c>
      <c r="U36" s="64">
        <v>5.1960914963272301E-3</v>
      </c>
      <c r="V36" s="64">
        <v>0.60711777809261547</v>
      </c>
      <c r="W36" s="64">
        <v>2.3369846288987901E-3</v>
      </c>
      <c r="X36" s="64">
        <v>0.57121780718007553</v>
      </c>
      <c r="Y36" s="64">
        <v>-1.3426349926060419</v>
      </c>
      <c r="Z36" s="64">
        <v>-0.41695809096336733</v>
      </c>
      <c r="AA36" s="64">
        <v>4.7445476406704358E-2</v>
      </c>
      <c r="AB36" s="64">
        <v>-3.0790368358874724E-2</v>
      </c>
      <c r="AC36" s="64">
        <v>141.27885235322725</v>
      </c>
      <c r="AD36" s="65">
        <v>105379.55324738019</v>
      </c>
      <c r="AE36" s="64">
        <v>0.62149933308404948</v>
      </c>
      <c r="AF36" s="64">
        <v>87.219538541296529</v>
      </c>
      <c r="AG36" s="64">
        <v>18.160014706083661</v>
      </c>
      <c r="AH36" s="64">
        <v>77.822574323715955</v>
      </c>
      <c r="AI36" s="64">
        <v>27.58992619771935</v>
      </c>
      <c r="AJ36" s="64">
        <v>35.452571294637998</v>
      </c>
      <c r="AK36" s="64">
        <v>5.2495188245358486</v>
      </c>
      <c r="AL36" s="64">
        <v>-2.3463564974322071</v>
      </c>
      <c r="AM36" s="64">
        <v>-4.5658094760439418</v>
      </c>
      <c r="AN36" s="64">
        <v>0.15226546290249135</v>
      </c>
      <c r="AO36" s="64">
        <v>2.2258912623156819</v>
      </c>
      <c r="AP36" s="64">
        <v>-0.82015400000000005</v>
      </c>
      <c r="AQ36" s="64" t="s">
        <v>330</v>
      </c>
      <c r="AR36" s="64">
        <v>-1.538232</v>
      </c>
      <c r="AS36" s="64">
        <v>-0.82015400000000005</v>
      </c>
      <c r="AT36" s="64">
        <v>0</v>
      </c>
      <c r="AU36" s="64">
        <v>0</v>
      </c>
      <c r="AV36" s="64">
        <v>0</v>
      </c>
      <c r="AW36" s="66">
        <v>0</v>
      </c>
    </row>
    <row r="37" spans="2:49" ht="15" customHeight="1" thickBot="1" x14ac:dyDescent="0.3">
      <c r="B37" s="57" t="s">
        <v>446</v>
      </c>
      <c r="C37" s="58" t="s">
        <v>447</v>
      </c>
      <c r="D37" s="59"/>
      <c r="E37" s="130"/>
      <c r="F37" s="130"/>
      <c r="G37" s="130"/>
      <c r="H37" s="130"/>
      <c r="I37" s="130"/>
      <c r="J37" s="130"/>
      <c r="K37" s="130"/>
      <c r="L37" s="130"/>
      <c r="M37" s="130"/>
      <c r="N37" s="59" t="s">
        <v>89</v>
      </c>
      <c r="O37" s="60">
        <v>103.20787989195361</v>
      </c>
      <c r="P37" s="61">
        <v>496.40514862624832</v>
      </c>
      <c r="Q37" s="61">
        <v>49.760957265190477</v>
      </c>
      <c r="R37" s="62" t="s">
        <v>1013</v>
      </c>
      <c r="S37" s="63">
        <v>0.66482606345901885</v>
      </c>
      <c r="T37" s="64">
        <v>0.48344025644549743</v>
      </c>
      <c r="U37" s="64">
        <v>4.0497206685384561E-3</v>
      </c>
      <c r="V37" s="64">
        <v>0.44726485187084675</v>
      </c>
      <c r="W37" s="64">
        <v>3.9311776956765245E-4</v>
      </c>
      <c r="X37" s="64">
        <v>0</v>
      </c>
      <c r="Y37" s="64">
        <v>-1.0829393137545129</v>
      </c>
      <c r="Z37" s="64">
        <v>0</v>
      </c>
      <c r="AA37" s="64">
        <v>0.21030471698629782</v>
      </c>
      <c r="AB37" s="64">
        <v>2.4212103713104569</v>
      </c>
      <c r="AC37" s="64">
        <v>146.82700480903003</v>
      </c>
      <c r="AD37" s="65">
        <v>1032.078798919536</v>
      </c>
      <c r="AE37" s="64">
        <v>0.97095384057600453</v>
      </c>
      <c r="AF37" s="64">
        <v>80.130587880502915</v>
      </c>
      <c r="AG37" s="64">
        <v>23.077292011450677</v>
      </c>
      <c r="AH37" s="64">
        <v>72.716802637100216</v>
      </c>
      <c r="AI37" s="64">
        <v>27.992197362899788</v>
      </c>
      <c r="AJ37" s="64">
        <v>38.49481323126566</v>
      </c>
      <c r="AK37" s="64">
        <v>2.7104665476199301</v>
      </c>
      <c r="AL37" s="64">
        <v>-1.6763375454895595</v>
      </c>
      <c r="AM37" s="64">
        <v>-2.5086417331052644</v>
      </c>
      <c r="AN37" s="64">
        <v>0.15030828208157523</v>
      </c>
      <c r="AO37" s="64">
        <v>1.6645359853534039</v>
      </c>
      <c r="AP37" s="64">
        <v>0.80111600000000005</v>
      </c>
      <c r="AQ37" s="64" t="s">
        <v>330</v>
      </c>
      <c r="AR37" s="64" t="s">
        <v>330</v>
      </c>
      <c r="AS37" s="64">
        <v>0.80111600000000005</v>
      </c>
      <c r="AT37" s="64">
        <v>0.99295991420826335</v>
      </c>
      <c r="AU37" s="64">
        <v>27.992197362899777</v>
      </c>
      <c r="AV37" s="64">
        <v>27.992197362899777</v>
      </c>
      <c r="AW37" s="66">
        <v>0.37222222222222223</v>
      </c>
    </row>
    <row r="38" spans="2:49" ht="15" customHeight="1" thickBot="1" x14ac:dyDescent="0.3">
      <c r="B38" s="57" t="s">
        <v>448</v>
      </c>
      <c r="C38" s="58" t="s">
        <v>449</v>
      </c>
      <c r="D38" s="59"/>
      <c r="E38" s="130"/>
      <c r="F38" s="130"/>
      <c r="G38" s="130"/>
      <c r="H38" s="130"/>
      <c r="I38" s="130"/>
      <c r="J38" s="130"/>
      <c r="K38" s="130"/>
      <c r="L38" s="130"/>
      <c r="M38" s="130"/>
      <c r="N38" s="59" t="s">
        <v>89</v>
      </c>
      <c r="O38" s="60">
        <v>90.169581712613279</v>
      </c>
      <c r="P38" s="61">
        <v>102.85598987549341</v>
      </c>
      <c r="Q38" s="61">
        <v>78.655479868046413</v>
      </c>
      <c r="R38" s="62" t="s">
        <v>1013</v>
      </c>
      <c r="S38" s="63">
        <v>8.0859833245167673E-3</v>
      </c>
      <c r="T38" s="64">
        <v>3.121570403213641E-3</v>
      </c>
      <c r="U38" s="64">
        <v>6.4769421102272976E-4</v>
      </c>
      <c r="V38" s="64">
        <v>1.0543479313372472E-2</v>
      </c>
      <c r="W38" s="64">
        <v>1.3867162797225774E-2</v>
      </c>
      <c r="X38" s="64">
        <v>0</v>
      </c>
      <c r="Y38" s="64">
        <v>-4.7055696503737554E-3</v>
      </c>
      <c r="Z38" s="64">
        <v>0</v>
      </c>
      <c r="AA38" s="64">
        <v>2.7178679955882697E-2</v>
      </c>
      <c r="AB38" s="64">
        <v>-5.4124885517840049</v>
      </c>
      <c r="AC38" s="64">
        <v>138.43444593938651</v>
      </c>
      <c r="AD38" s="65">
        <v>901.69581712613274</v>
      </c>
      <c r="AE38" s="64">
        <v>5.8820779492826415E-3</v>
      </c>
      <c r="AF38" s="64">
        <v>90.932669687761447</v>
      </c>
      <c r="AG38" s="64">
        <v>-0.7630879751481644</v>
      </c>
      <c r="AH38" s="64">
        <v>38.604709878005984</v>
      </c>
      <c r="AI38" s="64">
        <v>56.445290121994013</v>
      </c>
      <c r="AJ38" s="64">
        <v>146.21348094666612</v>
      </c>
      <c r="AK38" s="64">
        <v>1.5569872581981772</v>
      </c>
      <c r="AL38" s="64">
        <v>-1.4549210402507242</v>
      </c>
      <c r="AM38" s="64">
        <v>-1.7050137164787884</v>
      </c>
      <c r="AN38" s="64">
        <v>3.7942181370194859E-2</v>
      </c>
      <c r="AO38" s="64">
        <v>1.5306902054189628</v>
      </c>
      <c r="AP38" s="64">
        <v>4.5299560000000003</v>
      </c>
      <c r="AQ38" s="64" t="s">
        <v>330</v>
      </c>
      <c r="AR38" s="64" t="s">
        <v>330</v>
      </c>
      <c r="AS38" s="64">
        <v>4.5299560000000003</v>
      </c>
      <c r="AT38" s="64">
        <v>1.3150973172014728</v>
      </c>
      <c r="AU38" s="64">
        <v>45.156232097595222</v>
      </c>
      <c r="AV38" s="64">
        <v>45.156232097595222</v>
      </c>
      <c r="AW38" s="66">
        <v>0.52083333333333337</v>
      </c>
    </row>
    <row r="39" spans="2:49" ht="15" customHeight="1" thickBot="1" x14ac:dyDescent="0.3">
      <c r="B39" s="57" t="s">
        <v>450</v>
      </c>
      <c r="C39" s="58" t="s">
        <v>451</v>
      </c>
      <c r="D39" s="59"/>
      <c r="E39" s="130"/>
      <c r="F39" s="130"/>
      <c r="G39" s="130"/>
      <c r="H39" s="130"/>
      <c r="I39" s="130"/>
      <c r="J39" s="130"/>
      <c r="K39" s="130"/>
      <c r="L39" s="130"/>
      <c r="M39" s="130"/>
      <c r="N39" s="59" t="s">
        <v>89</v>
      </c>
      <c r="O39" s="60">
        <v>98.624913818355239</v>
      </c>
      <c r="P39" s="61">
        <v>338.34117161482186</v>
      </c>
      <c r="Q39" s="61">
        <v>35.582363467290257</v>
      </c>
      <c r="R39" s="62" t="s">
        <v>1013</v>
      </c>
      <c r="S39" s="63">
        <v>0.1212890553384771</v>
      </c>
      <c r="T39" s="64">
        <v>9.7179482821081284E-2</v>
      </c>
      <c r="U39" s="64">
        <v>1.2555117265352734E-2</v>
      </c>
      <c r="V39" s="64">
        <v>7.8675892028212499E-2</v>
      </c>
      <c r="W39" s="64">
        <v>4.6908135770308947E-3</v>
      </c>
      <c r="X39" s="64">
        <v>0.10514380032221457</v>
      </c>
      <c r="Y39" s="64">
        <v>-2.4384566097550173E-2</v>
      </c>
      <c r="Z39" s="64">
        <v>0</v>
      </c>
      <c r="AA39" s="64">
        <v>1.4025530188429319E-2</v>
      </c>
      <c r="AB39" s="64">
        <v>-0.17752733550391467</v>
      </c>
      <c r="AC39" s="64">
        <v>140.20709599115867</v>
      </c>
      <c r="AD39" s="65">
        <v>986.24913818355242</v>
      </c>
      <c r="AE39" s="64">
        <v>0.18892526361491668</v>
      </c>
      <c r="AF39" s="64">
        <v>98.067980338626882</v>
      </c>
      <c r="AG39" s="64">
        <v>0.55693347972836593</v>
      </c>
      <c r="AH39" s="64">
        <v>80.114266665458686</v>
      </c>
      <c r="AI39" s="64">
        <v>18.685733334541311</v>
      </c>
      <c r="AJ39" s="64">
        <v>23.32385243263754</v>
      </c>
      <c r="AK39" s="64">
        <v>0.24757504480999731</v>
      </c>
      <c r="AL39" s="64">
        <v>-0.2223751744462561</v>
      </c>
      <c r="AM39" s="64">
        <v>-0.29687510614223811</v>
      </c>
      <c r="AN39" s="64">
        <v>-0.29479150551154859</v>
      </c>
      <c r="AO39" s="64">
        <v>0.22507608749621064</v>
      </c>
      <c r="AP39" s="64">
        <v>5.0377939999999999</v>
      </c>
      <c r="AQ39" s="64" t="s">
        <v>330</v>
      </c>
      <c r="AR39" s="64" t="s">
        <v>330</v>
      </c>
      <c r="AS39" s="64">
        <v>5.0377939999999999</v>
      </c>
      <c r="AT39" s="64">
        <v>0.12651821862348178</v>
      </c>
      <c r="AU39" s="64">
        <v>0</v>
      </c>
      <c r="AV39" s="64">
        <v>0</v>
      </c>
      <c r="AW39" s="66">
        <v>3.125E-2</v>
      </c>
    </row>
    <row r="40" spans="2:49" ht="15" customHeight="1" thickBot="1" x14ac:dyDescent="0.3">
      <c r="B40" s="57" t="s">
        <v>452</v>
      </c>
      <c r="C40" s="58" t="s">
        <v>453</v>
      </c>
      <c r="D40" s="59"/>
      <c r="E40" s="130"/>
      <c r="F40" s="130"/>
      <c r="G40" s="130"/>
      <c r="H40" s="130"/>
      <c r="I40" s="130"/>
      <c r="J40" s="130"/>
      <c r="K40" s="130"/>
      <c r="L40" s="130"/>
      <c r="M40" s="130"/>
      <c r="N40" s="59" t="s">
        <v>89</v>
      </c>
      <c r="O40" s="60">
        <v>91.04295375019872</v>
      </c>
      <c r="P40" s="61">
        <v>182.48147055907273</v>
      </c>
      <c r="Q40" s="61">
        <v>48.391096549731508</v>
      </c>
      <c r="R40" s="62" t="s">
        <v>1013</v>
      </c>
      <c r="S40" s="63">
        <v>0.23772194359608312</v>
      </c>
      <c r="T40" s="64">
        <v>0.14677128898959094</v>
      </c>
      <c r="U40" s="64">
        <v>7.3573142965179372E-3</v>
      </c>
      <c r="V40" s="64">
        <v>0.24145696744141673</v>
      </c>
      <c r="W40" s="64">
        <v>6.3993832701953581E-3</v>
      </c>
      <c r="X40" s="64">
        <v>0.15812236535935206</v>
      </c>
      <c r="Y40" s="64">
        <v>-0.23968357910254121</v>
      </c>
      <c r="Z40" s="64">
        <v>0</v>
      </c>
      <c r="AA40" s="64">
        <v>5.1369924623076747E-2</v>
      </c>
      <c r="AB40" s="64">
        <v>-4.131067913416719</v>
      </c>
      <c r="AC40" s="64">
        <v>140.42011160320914</v>
      </c>
      <c r="AD40" s="65">
        <v>910.42953750198717</v>
      </c>
      <c r="AE40" s="64">
        <v>0.28553924434347194</v>
      </c>
      <c r="AF40" s="64">
        <v>88.891428530761218</v>
      </c>
      <c r="AG40" s="64">
        <v>2.1515252194374965</v>
      </c>
      <c r="AH40" s="64">
        <v>61.73461268337249</v>
      </c>
      <c r="AI40" s="64">
        <v>33.057374033355714</v>
      </c>
      <c r="AJ40" s="64">
        <v>53.537134241494279</v>
      </c>
      <c r="AK40" s="64">
        <v>1.6530237349294532</v>
      </c>
      <c r="AL40" s="64">
        <v>-1.3361938281212247</v>
      </c>
      <c r="AM40" s="64">
        <v>-1.8513454062256187</v>
      </c>
      <c r="AN40" s="64">
        <v>-1.569609930492246</v>
      </c>
      <c r="AO40" s="64">
        <v>1.4094276909426022</v>
      </c>
      <c r="AP40" s="64">
        <v>3.5359060000000002</v>
      </c>
      <c r="AQ40" s="64" t="s">
        <v>330</v>
      </c>
      <c r="AR40" s="64" t="s">
        <v>330</v>
      </c>
      <c r="AS40" s="64">
        <v>3.5359060000000002</v>
      </c>
      <c r="AT40" s="64">
        <v>0.39555293025610733</v>
      </c>
      <c r="AU40" s="64">
        <v>0</v>
      </c>
      <c r="AV40" s="64">
        <v>0</v>
      </c>
      <c r="AW40" s="66">
        <v>0.10833333333333332</v>
      </c>
    </row>
    <row r="41" spans="2:49" ht="15" customHeight="1" thickBot="1" x14ac:dyDescent="0.3">
      <c r="B41" s="57" t="s">
        <v>454</v>
      </c>
      <c r="C41" s="58" t="s">
        <v>455</v>
      </c>
      <c r="D41" s="59"/>
      <c r="E41" s="130"/>
      <c r="F41" s="130"/>
      <c r="G41" s="130"/>
      <c r="H41" s="130"/>
      <c r="I41" s="130"/>
      <c r="J41" s="130"/>
      <c r="K41" s="130"/>
      <c r="L41" s="130"/>
      <c r="M41" s="130"/>
      <c r="N41" s="59" t="s">
        <v>89</v>
      </c>
      <c r="O41" s="60">
        <v>98.580818620397579</v>
      </c>
      <c r="P41" s="61" t="s">
        <v>330</v>
      </c>
      <c r="Q41" s="61">
        <v>45.366315131050527</v>
      </c>
      <c r="R41" s="62" t="s">
        <v>1013</v>
      </c>
      <c r="S41" s="63" t="s">
        <v>330</v>
      </c>
      <c r="T41" s="64" t="s">
        <v>330</v>
      </c>
      <c r="U41" s="64" t="s">
        <v>330</v>
      </c>
      <c r="V41" s="64" t="s">
        <v>330</v>
      </c>
      <c r="W41" s="64" t="s">
        <v>330</v>
      </c>
      <c r="X41" s="64" t="s">
        <v>330</v>
      </c>
      <c r="Y41" s="64" t="s">
        <v>330</v>
      </c>
      <c r="Z41" s="64" t="s">
        <v>330</v>
      </c>
      <c r="AA41" s="64" t="s">
        <v>330</v>
      </c>
      <c r="AB41" s="64">
        <v>-0.37348176324256799</v>
      </c>
      <c r="AC41" s="64">
        <v>0</v>
      </c>
      <c r="AD41" s="65">
        <v>985808.18620397581</v>
      </c>
      <c r="AE41" s="64">
        <v>1.2150933094338363E-2</v>
      </c>
      <c r="AF41" s="64">
        <v>98.56650747879759</v>
      </c>
      <c r="AG41" s="64">
        <v>1.4311141599994151E-2</v>
      </c>
      <c r="AH41" s="64">
        <v>66.441825034600001</v>
      </c>
      <c r="AI41" s="64">
        <v>32.507174965399997</v>
      </c>
      <c r="AJ41" s="64">
        <v>48.925770700114995</v>
      </c>
      <c r="AK41" s="64">
        <v>0.36077144827501473</v>
      </c>
      <c r="AL41" s="64">
        <v>-0.34987938331603075</v>
      </c>
      <c r="AM41" s="64">
        <v>-0.41283864797814751</v>
      </c>
      <c r="AN41" s="64">
        <v>2.3126537265349199E-3</v>
      </c>
      <c r="AO41" s="64">
        <v>0.35491628920561263</v>
      </c>
      <c r="AP41" s="64">
        <v>2.9641769999999998</v>
      </c>
      <c r="AQ41" s="64" t="s">
        <v>330</v>
      </c>
      <c r="AR41" s="64" t="s">
        <v>330</v>
      </c>
      <c r="AS41" s="64">
        <v>2.9641769999999998</v>
      </c>
      <c r="AT41" s="64">
        <v>0</v>
      </c>
      <c r="AU41" s="64">
        <v>0</v>
      </c>
      <c r="AV41" s="64">
        <v>0</v>
      </c>
      <c r="AW41" s="66">
        <v>0</v>
      </c>
    </row>
    <row r="42" spans="2:49" ht="15" customHeight="1" thickBot="1" x14ac:dyDescent="0.3">
      <c r="B42" s="57" t="s">
        <v>456</v>
      </c>
      <c r="C42" s="58" t="s">
        <v>457</v>
      </c>
      <c r="D42" s="59"/>
      <c r="E42" s="130"/>
      <c r="F42" s="130"/>
      <c r="G42" s="130"/>
      <c r="H42" s="130"/>
      <c r="I42" s="130"/>
      <c r="J42" s="130"/>
      <c r="K42" s="130"/>
      <c r="L42" s="130"/>
      <c r="M42" s="130"/>
      <c r="N42" s="59" t="s">
        <v>89</v>
      </c>
      <c r="O42" s="60">
        <v>103.72802429619314</v>
      </c>
      <c r="P42" s="61" t="s">
        <v>330</v>
      </c>
      <c r="Q42" s="61">
        <v>28.16207558928749</v>
      </c>
      <c r="R42" s="62" t="s">
        <v>1013</v>
      </c>
      <c r="S42" s="63" t="s">
        <v>330</v>
      </c>
      <c r="T42" s="64" t="s">
        <v>330</v>
      </c>
      <c r="U42" s="64" t="s">
        <v>330</v>
      </c>
      <c r="V42" s="64" t="s">
        <v>330</v>
      </c>
      <c r="W42" s="64" t="s">
        <v>330</v>
      </c>
      <c r="X42" s="64" t="s">
        <v>330</v>
      </c>
      <c r="Y42" s="64" t="s">
        <v>330</v>
      </c>
      <c r="Z42" s="64" t="s">
        <v>330</v>
      </c>
      <c r="AA42" s="64" t="s">
        <v>330</v>
      </c>
      <c r="AB42" s="64">
        <v>-2.5682314127568029</v>
      </c>
      <c r="AC42" s="64">
        <v>0</v>
      </c>
      <c r="AD42" s="65">
        <v>103728.02429619314</v>
      </c>
      <c r="AE42" s="64">
        <v>0.11775923408572626</v>
      </c>
      <c r="AF42" s="64">
        <v>93.782244333324826</v>
      </c>
      <c r="AG42" s="64">
        <v>9.945779962868313</v>
      </c>
      <c r="AH42" s="64">
        <v>91.956114726501482</v>
      </c>
      <c r="AI42" s="64">
        <v>14.435885273498513</v>
      </c>
      <c r="AJ42" s="64">
        <v>15.698668127110565</v>
      </c>
      <c r="AK42" s="64">
        <v>2.3394286808411882</v>
      </c>
      <c r="AL42" s="64">
        <v>-1.722746685670645</v>
      </c>
      <c r="AM42" s="64">
        <v>-2.901769664319727</v>
      </c>
      <c r="AN42" s="64">
        <v>0.14003095688897704</v>
      </c>
      <c r="AO42" s="64">
        <v>1.6608305203532836</v>
      </c>
      <c r="AP42" s="64">
        <v>-2.5400477264918675</v>
      </c>
      <c r="AQ42" s="64" t="s">
        <v>330</v>
      </c>
      <c r="AR42" s="64" t="s">
        <v>330</v>
      </c>
      <c r="AS42" s="64">
        <v>-2.5400477264918675</v>
      </c>
      <c r="AT42" s="64">
        <v>0</v>
      </c>
      <c r="AU42" s="64">
        <v>0</v>
      </c>
      <c r="AV42" s="64">
        <v>0</v>
      </c>
      <c r="AW42" s="66">
        <v>0</v>
      </c>
    </row>
    <row r="43" spans="2:49" ht="15" customHeight="1" thickBot="1" x14ac:dyDescent="0.3">
      <c r="B43" s="57" t="s">
        <v>458</v>
      </c>
      <c r="C43" s="58" t="s">
        <v>459</v>
      </c>
      <c r="D43" s="59"/>
      <c r="E43" s="130"/>
      <c r="F43" s="130"/>
      <c r="G43" s="130"/>
      <c r="H43" s="130"/>
      <c r="I43" s="130"/>
      <c r="J43" s="130"/>
      <c r="K43" s="130"/>
      <c r="L43" s="130"/>
      <c r="M43" s="130"/>
      <c r="N43" s="59" t="s">
        <v>89</v>
      </c>
      <c r="O43" s="60">
        <v>110.5459725430711</v>
      </c>
      <c r="P43" s="61">
        <v>39.159715595247256</v>
      </c>
      <c r="Q43" s="61">
        <v>29.954412020383664</v>
      </c>
      <c r="R43" s="62" t="s">
        <v>1013</v>
      </c>
      <c r="S43" s="63">
        <v>0.63382338822730044</v>
      </c>
      <c r="T43" s="64">
        <v>0.65858173621321203</v>
      </c>
      <c r="U43" s="64">
        <v>7.7566279910840268E-3</v>
      </c>
      <c r="V43" s="64">
        <v>0.63456643063364027</v>
      </c>
      <c r="W43" s="64">
        <v>-2.3204829866299405E-3</v>
      </c>
      <c r="X43" s="64">
        <v>-8.7319227781055535E-3</v>
      </c>
      <c r="Y43" s="64">
        <v>-1.5840956725769848</v>
      </c>
      <c r="Z43" s="64">
        <v>-0.55825694746619725</v>
      </c>
      <c r="AA43" s="64">
        <v>1.6128751460053645E-2</v>
      </c>
      <c r="AB43" s="64">
        <v>-0.72008725294695608</v>
      </c>
      <c r="AC43" s="64">
        <v>0</v>
      </c>
      <c r="AD43" s="65">
        <v>110545.9725430711</v>
      </c>
      <c r="AE43" s="64">
        <v>1.1967994789293059</v>
      </c>
      <c r="AF43" s="64">
        <v>89.288546244777649</v>
      </c>
      <c r="AG43" s="64">
        <v>21.257426298293446</v>
      </c>
      <c r="AH43" s="64">
        <v>103.90619034352086</v>
      </c>
      <c r="AI43" s="64">
        <v>7.4358126213835476</v>
      </c>
      <c r="AJ43" s="64">
        <v>7.1562751063983452</v>
      </c>
      <c r="AK43" s="64">
        <v>2.8871231816058893</v>
      </c>
      <c r="AL43" s="64">
        <v>-1.4301412459732818</v>
      </c>
      <c r="AM43" s="64">
        <v>-3.9862298138052576</v>
      </c>
      <c r="AN43" s="64">
        <v>-6.3614935278529655E-3</v>
      </c>
      <c r="AO43" s="64">
        <v>1.2844580176153488</v>
      </c>
      <c r="AP43" s="64">
        <v>-3.4176959999999998</v>
      </c>
      <c r="AQ43" s="64" t="s">
        <v>330</v>
      </c>
      <c r="AR43" s="64" t="s">
        <v>330</v>
      </c>
      <c r="AS43" s="64">
        <v>-3.4176959999999998</v>
      </c>
      <c r="AT43" s="64">
        <v>0</v>
      </c>
      <c r="AU43" s="64">
        <v>0</v>
      </c>
      <c r="AV43" s="64">
        <v>0</v>
      </c>
      <c r="AW43" s="66">
        <v>0</v>
      </c>
    </row>
    <row r="44" spans="2:49" ht="15" customHeight="1" thickBot="1" x14ac:dyDescent="0.3">
      <c r="B44" s="57" t="s">
        <v>460</v>
      </c>
      <c r="C44" s="58" t="s">
        <v>461</v>
      </c>
      <c r="D44" s="59"/>
      <c r="E44" s="130"/>
      <c r="F44" s="130"/>
      <c r="G44" s="130"/>
      <c r="H44" s="130"/>
      <c r="I44" s="130"/>
      <c r="J44" s="130"/>
      <c r="K44" s="130"/>
      <c r="L44" s="130"/>
      <c r="M44" s="130"/>
      <c r="N44" s="59" t="s">
        <v>89</v>
      </c>
      <c r="O44" s="60">
        <v>108.10339070006248</v>
      </c>
      <c r="P44" s="61">
        <v>45.551820422232893</v>
      </c>
      <c r="Q44" s="61">
        <v>28.270283059485585</v>
      </c>
      <c r="R44" s="62" t="s">
        <v>1013</v>
      </c>
      <c r="S44" s="63">
        <v>0.54589070520175154</v>
      </c>
      <c r="T44" s="64">
        <v>0.49676225493523102</v>
      </c>
      <c r="U44" s="64">
        <v>7.0552613294300104E-3</v>
      </c>
      <c r="V44" s="64">
        <v>0.71415686086875207</v>
      </c>
      <c r="W44" s="64">
        <v>-1.3600451093225274E-3</v>
      </c>
      <c r="X44" s="64">
        <v>-7.6175707570778697E-2</v>
      </c>
      <c r="Y44" s="64">
        <v>-1.7550734260512035</v>
      </c>
      <c r="Z44" s="64">
        <v>0</v>
      </c>
      <c r="AA44" s="64">
        <v>2.8067019025135982E-2</v>
      </c>
      <c r="AB44" s="64">
        <v>-0.70266926413537922</v>
      </c>
      <c r="AC44" s="64">
        <v>0</v>
      </c>
      <c r="AD44" s="65">
        <v>108103.39070006247</v>
      </c>
      <c r="AE44" s="64">
        <v>0.2443022124247862</v>
      </c>
      <c r="AF44" s="64">
        <v>91.909704185358919</v>
      </c>
      <c r="AG44" s="64">
        <v>16.193686514703558</v>
      </c>
      <c r="AH44" s="64">
        <v>90.977931675000008</v>
      </c>
      <c r="AI44" s="64">
        <v>17.885068324999992</v>
      </c>
      <c r="AJ44" s="64">
        <v>19.658688646484872</v>
      </c>
      <c r="AK44" s="64">
        <v>4.2060980164247797</v>
      </c>
      <c r="AL44" s="64">
        <v>-2.796903719017573</v>
      </c>
      <c r="AM44" s="64">
        <v>-5.5941104240594726</v>
      </c>
      <c r="AN44" s="64">
        <v>-0.3226089252435953</v>
      </c>
      <c r="AO44" s="64">
        <v>2.5691958875077603</v>
      </c>
      <c r="AP44" s="64">
        <v>-1.1941753357219704</v>
      </c>
      <c r="AQ44" s="64" t="s">
        <v>330</v>
      </c>
      <c r="AR44" s="64" t="s">
        <v>330</v>
      </c>
      <c r="AS44" s="64">
        <v>-1.1941753357219704</v>
      </c>
      <c r="AT44" s="64">
        <v>0.73486859630912249</v>
      </c>
      <c r="AU44" s="64">
        <v>0</v>
      </c>
      <c r="AV44" s="64">
        <v>0</v>
      </c>
      <c r="AW44" s="66">
        <v>0.55232876712328771</v>
      </c>
    </row>
    <row r="45" spans="2:49" ht="15" customHeight="1" thickBot="1" x14ac:dyDescent="0.3">
      <c r="B45" s="57" t="s">
        <v>462</v>
      </c>
      <c r="C45" s="58" t="s">
        <v>463</v>
      </c>
      <c r="D45" s="59"/>
      <c r="E45" s="130"/>
      <c r="F45" s="130"/>
      <c r="G45" s="130"/>
      <c r="H45" s="130"/>
      <c r="I45" s="130"/>
      <c r="J45" s="130"/>
      <c r="K45" s="130"/>
      <c r="L45" s="130"/>
      <c r="M45" s="130"/>
      <c r="N45" s="59" t="s">
        <v>89</v>
      </c>
      <c r="O45" s="60">
        <v>96.678038870820686</v>
      </c>
      <c r="P45" s="61" t="s">
        <v>330</v>
      </c>
      <c r="Q45" s="61">
        <v>39.134209961878938</v>
      </c>
      <c r="R45" s="62" t="s">
        <v>1013</v>
      </c>
      <c r="S45" s="63" t="s">
        <v>330</v>
      </c>
      <c r="T45" s="64" t="s">
        <v>330</v>
      </c>
      <c r="U45" s="64" t="s">
        <v>330</v>
      </c>
      <c r="V45" s="64" t="s">
        <v>330</v>
      </c>
      <c r="W45" s="64" t="s">
        <v>330</v>
      </c>
      <c r="X45" s="64" t="s">
        <v>330</v>
      </c>
      <c r="Y45" s="64" t="s">
        <v>330</v>
      </c>
      <c r="Z45" s="64" t="s">
        <v>330</v>
      </c>
      <c r="AA45" s="64" t="s">
        <v>330</v>
      </c>
      <c r="AB45" s="64">
        <v>-3.4030077229589852</v>
      </c>
      <c r="AC45" s="64">
        <v>0</v>
      </c>
      <c r="AD45" s="65">
        <v>96678.038870820688</v>
      </c>
      <c r="AE45" s="64">
        <v>1.9893348694474008E-2</v>
      </c>
      <c r="AF45" s="64">
        <v>94.225544226979622</v>
      </c>
      <c r="AG45" s="64">
        <v>2.45249464384107</v>
      </c>
      <c r="AH45" s="64">
        <v>57.531720795168461</v>
      </c>
      <c r="AI45" s="64">
        <v>42.445884695168459</v>
      </c>
      <c r="AJ45" s="64">
        <v>73.790549026633641</v>
      </c>
      <c r="AK45" s="64">
        <v>3.4068136190041116</v>
      </c>
      <c r="AL45" s="64">
        <v>-3.2986552604776809</v>
      </c>
      <c r="AM45" s="64">
        <v>-3.8224169014577636</v>
      </c>
      <c r="AN45" s="64">
        <v>0.19944821982351971</v>
      </c>
      <c r="AO45" s="64">
        <v>3.4120005939355882</v>
      </c>
      <c r="AP45" s="64">
        <v>1.0090295554438509</v>
      </c>
      <c r="AQ45" s="64" t="s">
        <v>330</v>
      </c>
      <c r="AR45" s="64" t="s">
        <v>330</v>
      </c>
      <c r="AS45" s="64">
        <v>1.0090295554438509</v>
      </c>
      <c r="AT45" s="64">
        <v>1.0003201024327786</v>
      </c>
      <c r="AU45" s="64">
        <v>0</v>
      </c>
      <c r="AV45" s="64">
        <v>0</v>
      </c>
      <c r="AW45" s="66">
        <v>0.52876712328767128</v>
      </c>
    </row>
    <row r="46" spans="2:49" ht="15" customHeight="1" thickBot="1" x14ac:dyDescent="0.3">
      <c r="B46" s="57" t="s">
        <v>464</v>
      </c>
      <c r="C46" s="58" t="s">
        <v>465</v>
      </c>
      <c r="D46" s="59"/>
      <c r="E46" s="130"/>
      <c r="F46" s="130"/>
      <c r="G46" s="130"/>
      <c r="H46" s="130"/>
      <c r="I46" s="130"/>
      <c r="J46" s="130"/>
      <c r="K46" s="130"/>
      <c r="L46" s="130"/>
      <c r="M46" s="130"/>
      <c r="N46" s="59" t="s">
        <v>89</v>
      </c>
      <c r="O46" s="60">
        <v>96.588224699300483</v>
      </c>
      <c r="P46" s="61">
        <v>190.89679620254904</v>
      </c>
      <c r="Q46" s="61" t="s">
        <v>330</v>
      </c>
      <c r="R46" s="62" t="s">
        <v>1013</v>
      </c>
      <c r="S46" s="63">
        <v>-1.4818331540682862E-13</v>
      </c>
      <c r="T46" s="64">
        <v>-1.0490153887259375E-14</v>
      </c>
      <c r="U46" s="64">
        <v>-2.5169908578329832E-14</v>
      </c>
      <c r="V46" s="64">
        <v>-5.6843418860808015E-14</v>
      </c>
      <c r="W46" s="64">
        <v>1.7215970890310926E-2</v>
      </c>
      <c r="X46" s="64">
        <v>0</v>
      </c>
      <c r="Y46" s="64">
        <v>-2.8608336984518618E-4</v>
      </c>
      <c r="Z46" s="64">
        <v>0</v>
      </c>
      <c r="AA46" s="64">
        <v>1.3177975265716577E-2</v>
      </c>
      <c r="AB46" s="64">
        <v>-0.9957479844916125</v>
      </c>
      <c r="AC46" s="64">
        <v>158.06544212236639</v>
      </c>
      <c r="AD46" s="65">
        <v>965.88224699300486</v>
      </c>
      <c r="AE46" s="64">
        <v>-1.0609283574354411E-14</v>
      </c>
      <c r="AF46" s="64">
        <v>96.838669420998954</v>
      </c>
      <c r="AG46" s="64">
        <v>-0.25044472169846582</v>
      </c>
      <c r="AH46" s="64">
        <v>7.0791734268188478</v>
      </c>
      <c r="AI46" s="64">
        <v>90.470826573181142</v>
      </c>
      <c r="AJ46" s="64">
        <v>1277.9857353181956</v>
      </c>
      <c r="AK46" s="64">
        <v>0.40829044707808415</v>
      </c>
      <c r="AL46" s="64">
        <v>-0.39830218094169823</v>
      </c>
      <c r="AM46" s="64">
        <v>-0.46578060629269658</v>
      </c>
      <c r="AN46" s="64">
        <v>-5.4004397208662319E-2</v>
      </c>
      <c r="AO46" s="64">
        <v>0.40830566985309918</v>
      </c>
      <c r="AP46" s="64">
        <v>6.0681320000000003</v>
      </c>
      <c r="AQ46" s="64" t="s">
        <v>330</v>
      </c>
      <c r="AR46" s="64" t="s">
        <v>330</v>
      </c>
      <c r="AS46" s="64">
        <v>6.0681320000000003</v>
      </c>
      <c r="AT46" s="64">
        <v>0</v>
      </c>
      <c r="AU46" s="64">
        <v>0</v>
      </c>
      <c r="AV46" s="64">
        <v>0</v>
      </c>
      <c r="AW46" s="66">
        <v>0</v>
      </c>
    </row>
    <row r="47" spans="2:49" ht="15" customHeight="1" thickBot="1" x14ac:dyDescent="0.3">
      <c r="B47" s="57" t="s">
        <v>466</v>
      </c>
      <c r="C47" s="58" t="s">
        <v>467</v>
      </c>
      <c r="D47" s="59"/>
      <c r="E47" s="130"/>
      <c r="F47" s="130"/>
      <c r="G47" s="130"/>
      <c r="H47" s="130"/>
      <c r="I47" s="130"/>
      <c r="J47" s="130"/>
      <c r="K47" s="130"/>
      <c r="L47" s="130"/>
      <c r="M47" s="130"/>
      <c r="N47" s="59" t="s">
        <v>89</v>
      </c>
      <c r="O47" s="60">
        <v>126.89285723014952</v>
      </c>
      <c r="P47" s="61">
        <v>280.93101842721899</v>
      </c>
      <c r="Q47" s="61">
        <v>47.997783142767055</v>
      </c>
      <c r="R47" s="62" t="s">
        <v>1013</v>
      </c>
      <c r="S47" s="63">
        <v>0.77841867683134192</v>
      </c>
      <c r="T47" s="64">
        <v>0.9596852246876324</v>
      </c>
      <c r="U47" s="64">
        <v>4.9733906826767782E-3</v>
      </c>
      <c r="V47" s="64">
        <v>0.80463637372612717</v>
      </c>
      <c r="W47" s="64">
        <v>6.9004900881554929E-4</v>
      </c>
      <c r="X47" s="64">
        <v>-1.0537399942321362</v>
      </c>
      <c r="Y47" s="64">
        <v>-1.1734146028979797</v>
      </c>
      <c r="Z47" s="64">
        <v>0</v>
      </c>
      <c r="AA47" s="64">
        <v>0.11794461641529008</v>
      </c>
      <c r="AB47" s="64">
        <v>-3.146861735966751</v>
      </c>
      <c r="AC47" s="64">
        <v>0</v>
      </c>
      <c r="AD47" s="65">
        <v>126892.8572301495</v>
      </c>
      <c r="AE47" s="64">
        <v>0.30526886733126019</v>
      </c>
      <c r="AF47" s="64">
        <v>79.114135206438249</v>
      </c>
      <c r="AG47" s="64">
        <v>47.778722023711261</v>
      </c>
      <c r="AH47" s="64">
        <v>123.30610935</v>
      </c>
      <c r="AI47" s="64">
        <v>7.5798906499999958</v>
      </c>
      <c r="AJ47" s="64">
        <v>6.1472141891078129</v>
      </c>
      <c r="AK47" s="64">
        <v>3.0231696550157814</v>
      </c>
      <c r="AL47" s="64">
        <v>-1.841246710694977</v>
      </c>
      <c r="AM47" s="64">
        <v>-3.8929089105530874</v>
      </c>
      <c r="AN47" s="64">
        <v>0.41199300020926716</v>
      </c>
      <c r="AO47" s="64">
        <v>1.4067560401379653</v>
      </c>
      <c r="AP47" s="64">
        <v>-3.8894640970995096</v>
      </c>
      <c r="AQ47" s="64" t="s">
        <v>330</v>
      </c>
      <c r="AR47" s="64" t="s">
        <v>330</v>
      </c>
      <c r="AS47" s="64">
        <v>-3.8894640970995096</v>
      </c>
      <c r="AT47" s="64">
        <v>1.1460354812584999</v>
      </c>
      <c r="AU47" s="64">
        <v>0</v>
      </c>
      <c r="AV47" s="64">
        <v>0</v>
      </c>
      <c r="AW47" s="66">
        <v>0.45081967213114749</v>
      </c>
    </row>
    <row r="48" spans="2:49" ht="15" customHeight="1" thickBot="1" x14ac:dyDescent="0.3">
      <c r="B48" s="57" t="s">
        <v>468</v>
      </c>
      <c r="C48" s="58" t="s">
        <v>469</v>
      </c>
      <c r="D48" s="59"/>
      <c r="E48" s="130"/>
      <c r="F48" s="130"/>
      <c r="G48" s="130"/>
      <c r="H48" s="130"/>
      <c r="I48" s="130"/>
      <c r="J48" s="130"/>
      <c r="K48" s="130"/>
      <c r="L48" s="130"/>
      <c r="M48" s="130"/>
      <c r="N48" s="59" t="s">
        <v>89</v>
      </c>
      <c r="O48" s="60">
        <v>226.6473399332651</v>
      </c>
      <c r="P48" s="61" t="s">
        <v>330</v>
      </c>
      <c r="Q48" s="61" t="s">
        <v>330</v>
      </c>
      <c r="R48" s="62" t="s">
        <v>1013</v>
      </c>
      <c r="S48" s="63" t="s">
        <v>330</v>
      </c>
      <c r="T48" s="64" t="s">
        <v>330</v>
      </c>
      <c r="U48" s="64" t="s">
        <v>330</v>
      </c>
      <c r="V48" s="64" t="s">
        <v>330</v>
      </c>
      <c r="W48" s="64" t="s">
        <v>330</v>
      </c>
      <c r="X48" s="64" t="s">
        <v>330</v>
      </c>
      <c r="Y48" s="64" t="s">
        <v>330</v>
      </c>
      <c r="Z48" s="64" t="s">
        <v>330</v>
      </c>
      <c r="AA48" s="64" t="s">
        <v>330</v>
      </c>
      <c r="AB48" s="64">
        <v>1.8095689693392047</v>
      </c>
      <c r="AC48" s="64">
        <v>155.09612451674383</v>
      </c>
      <c r="AD48" s="65">
        <v>2266.4733993326508</v>
      </c>
      <c r="AE48" s="64">
        <v>7.7210748192683694</v>
      </c>
      <c r="AF48" s="64">
        <v>102.5797510598907</v>
      </c>
      <c r="AG48" s="64">
        <v>124.06758887337439</v>
      </c>
      <c r="AH48" s="64">
        <v>225.89862750000003</v>
      </c>
      <c r="AI48" s="64">
        <v>-3.3526275000000396</v>
      </c>
      <c r="AJ48" s="64">
        <v>-1.4841292030426521</v>
      </c>
      <c r="AK48" s="64">
        <v>2.0831240570524483</v>
      </c>
      <c r="AL48" s="64">
        <v>-3.7395654931060562E-3</v>
      </c>
      <c r="AM48" s="64">
        <v>1.1390950809982314E-2</v>
      </c>
      <c r="AN48" s="64">
        <v>4.0709226576955519E-6</v>
      </c>
      <c r="AO48" s="64">
        <v>1.6499489886831005E-3</v>
      </c>
      <c r="AP48" s="64">
        <v>-188.70562899999999</v>
      </c>
      <c r="AQ48" s="64" t="s">
        <v>330</v>
      </c>
      <c r="AR48" s="64" t="s">
        <v>330</v>
      </c>
      <c r="AS48" s="64">
        <v>-188.70562899999999</v>
      </c>
      <c r="AT48" s="64">
        <v>2.5837354973803168</v>
      </c>
      <c r="AU48" s="64">
        <v>0</v>
      </c>
      <c r="AV48" s="64">
        <v>0</v>
      </c>
      <c r="AW48" s="66">
        <v>2.1402777777777779</v>
      </c>
    </row>
    <row r="49" spans="2:49" ht="15" customHeight="1" thickBot="1" x14ac:dyDescent="0.3">
      <c r="B49" s="57" t="s">
        <v>470</v>
      </c>
      <c r="C49" s="58" t="s">
        <v>471</v>
      </c>
      <c r="D49" s="59"/>
      <c r="E49" s="130"/>
      <c r="F49" s="130"/>
      <c r="G49" s="130"/>
      <c r="H49" s="130"/>
      <c r="I49" s="130"/>
      <c r="J49" s="130"/>
      <c r="K49" s="130"/>
      <c r="L49" s="130"/>
      <c r="M49" s="130"/>
      <c r="N49" s="59" t="s">
        <v>89</v>
      </c>
      <c r="O49" s="60">
        <v>90.530681416891966</v>
      </c>
      <c r="P49" s="61">
        <v>30.900366409881883</v>
      </c>
      <c r="Q49" s="61">
        <v>141.38523852543912</v>
      </c>
      <c r="R49" s="62" t="s">
        <v>1013</v>
      </c>
      <c r="S49" s="63">
        <v>2.8608766185391154E-3</v>
      </c>
      <c r="T49" s="64">
        <v>6.4865454506506679E-4</v>
      </c>
      <c r="U49" s="64">
        <v>1.8225108066766699E-4</v>
      </c>
      <c r="V49" s="64">
        <v>2.2088059005852755E-3</v>
      </c>
      <c r="W49" s="64">
        <v>1.1901210579867438E-2</v>
      </c>
      <c r="X49" s="64">
        <v>0</v>
      </c>
      <c r="Y49" s="64">
        <v>-8.2771113268998765E-4</v>
      </c>
      <c r="Z49" s="64">
        <v>0</v>
      </c>
      <c r="AA49" s="64">
        <v>6.5575453524806208E-3</v>
      </c>
      <c r="AB49" s="64">
        <v>-5.3786390502076591</v>
      </c>
      <c r="AC49" s="64">
        <v>143.07800041462909</v>
      </c>
      <c r="AD49" s="65">
        <v>905.30681416891969</v>
      </c>
      <c r="AE49" s="64">
        <v>2.8591163094734556E-3</v>
      </c>
      <c r="AF49" s="64">
        <v>91.1619963115525</v>
      </c>
      <c r="AG49" s="64">
        <v>-0.63131489466053381</v>
      </c>
      <c r="AH49" s="64">
        <v>22.673279262084964</v>
      </c>
      <c r="AI49" s="64">
        <v>72.726720737915045</v>
      </c>
      <c r="AJ49" s="64">
        <v>320.75960383697634</v>
      </c>
      <c r="AK49" s="64">
        <v>1.2453163297378047</v>
      </c>
      <c r="AL49" s="64">
        <v>-1.1681957399486009</v>
      </c>
      <c r="AM49" s="64">
        <v>-1.3695362184676014</v>
      </c>
      <c r="AN49" s="64">
        <v>2.104107081362622E-2</v>
      </c>
      <c r="AO49" s="64">
        <v>1.2245238364241098</v>
      </c>
      <c r="AP49" s="64">
        <v>3.811585</v>
      </c>
      <c r="AQ49" s="64" t="s">
        <v>330</v>
      </c>
      <c r="AR49" s="64" t="s">
        <v>330</v>
      </c>
      <c r="AS49" s="64">
        <v>3.811585</v>
      </c>
      <c r="AT49" s="64">
        <v>0</v>
      </c>
      <c r="AU49" s="64">
        <v>0</v>
      </c>
      <c r="AV49" s="64">
        <v>0</v>
      </c>
      <c r="AW49" s="66">
        <v>0</v>
      </c>
    </row>
    <row r="50" spans="2:49" ht="15" customHeight="1" thickBot="1" x14ac:dyDescent="0.3">
      <c r="B50" s="57" t="s">
        <v>472</v>
      </c>
      <c r="C50" s="58" t="s">
        <v>473</v>
      </c>
      <c r="D50" s="59"/>
      <c r="E50" s="130"/>
      <c r="F50" s="130"/>
      <c r="G50" s="130"/>
      <c r="H50" s="130"/>
      <c r="I50" s="130"/>
      <c r="J50" s="130"/>
      <c r="K50" s="130"/>
      <c r="L50" s="130"/>
      <c r="M50" s="130"/>
      <c r="N50" s="59" t="s">
        <v>89</v>
      </c>
      <c r="O50" s="60">
        <v>117.02650128536804</v>
      </c>
      <c r="P50" s="61">
        <v>706.00356541632414</v>
      </c>
      <c r="Q50" s="61">
        <v>39.434946928075867</v>
      </c>
      <c r="R50" s="62" t="s">
        <v>1013</v>
      </c>
      <c r="S50" s="63">
        <v>0.74868517756205544</v>
      </c>
      <c r="T50" s="64">
        <v>0.67917389851169874</v>
      </c>
      <c r="U50" s="64">
        <v>4.5923450474607119E-3</v>
      </c>
      <c r="V50" s="64">
        <v>0.60664028676068416</v>
      </c>
      <c r="W50" s="64">
        <v>-4.9315077381441369E-3</v>
      </c>
      <c r="X50" s="64">
        <v>0.23532868607396865</v>
      </c>
      <c r="Y50" s="64">
        <v>-2.1110723178200503</v>
      </c>
      <c r="Z50" s="64">
        <v>0</v>
      </c>
      <c r="AA50" s="64">
        <v>0.31740990978818157</v>
      </c>
      <c r="AB50" s="64">
        <v>7.2594678915093205</v>
      </c>
      <c r="AC50" s="64">
        <v>0</v>
      </c>
      <c r="AD50" s="65">
        <v>2340530.0257073608</v>
      </c>
      <c r="AE50" s="64">
        <v>4.4274700033357153</v>
      </c>
      <c r="AF50" s="64">
        <v>85.418537822385488</v>
      </c>
      <c r="AG50" s="64">
        <v>31.607963462982546</v>
      </c>
      <c r="AH50" s="64">
        <v>90.715552927505996</v>
      </c>
      <c r="AI50" s="64">
        <v>17.815446170141016</v>
      </c>
      <c r="AJ50" s="64">
        <v>19.6387999830268</v>
      </c>
      <c r="AK50" s="64">
        <v>3.6129274740041746</v>
      </c>
      <c r="AL50" s="64">
        <v>-1.4412065768259346</v>
      </c>
      <c r="AM50" s="64">
        <v>-2.4838802161726634</v>
      </c>
      <c r="AN50" s="64">
        <v>-1.3722925530922061</v>
      </c>
      <c r="AO50" s="64">
        <v>1.3279215862987852</v>
      </c>
      <c r="AP50" s="64">
        <v>-0.84730899999999998</v>
      </c>
      <c r="AQ50" s="64" t="s">
        <v>330</v>
      </c>
      <c r="AR50" s="64">
        <v>-2.1004119999999999</v>
      </c>
      <c r="AS50" s="64">
        <v>-0.84730899999999998</v>
      </c>
      <c r="AT50" s="64">
        <v>0.34552339884456973</v>
      </c>
      <c r="AU50" s="64">
        <v>0</v>
      </c>
      <c r="AV50" s="64">
        <v>0</v>
      </c>
      <c r="AW50" s="66">
        <v>0.10937500000000001</v>
      </c>
    </row>
    <row r="51" spans="2:49" ht="15" customHeight="1" thickBot="1" x14ac:dyDescent="0.3">
      <c r="B51" s="57" t="s">
        <v>474</v>
      </c>
      <c r="C51" s="58" t="s">
        <v>475</v>
      </c>
      <c r="D51" s="59"/>
      <c r="E51" s="130"/>
      <c r="F51" s="130"/>
      <c r="G51" s="130"/>
      <c r="H51" s="130"/>
      <c r="I51" s="130"/>
      <c r="J51" s="130"/>
      <c r="K51" s="130"/>
      <c r="L51" s="130"/>
      <c r="M51" s="130"/>
      <c r="N51" s="59" t="s">
        <v>89</v>
      </c>
      <c r="O51" s="60">
        <v>60.123660722823907</v>
      </c>
      <c r="P51" s="61">
        <v>274.84293191139921</v>
      </c>
      <c r="Q51" s="61" t="s">
        <v>330</v>
      </c>
      <c r="R51" s="62" t="s">
        <v>1013</v>
      </c>
      <c r="S51" s="63">
        <v>2.3539407583486174E-2</v>
      </c>
      <c r="T51" s="64">
        <v>2.1250944360010648E-3</v>
      </c>
      <c r="U51" s="64">
        <v>7.0291935701914947E-4</v>
      </c>
      <c r="V51" s="64">
        <v>5.713789677255221E-3</v>
      </c>
      <c r="W51" s="64">
        <v>7.9533217858198668E-3</v>
      </c>
      <c r="X51" s="64">
        <v>1.5844532437292053E-5</v>
      </c>
      <c r="Y51" s="64">
        <v>-4.7776349090092526E-3</v>
      </c>
      <c r="Z51" s="64">
        <v>0</v>
      </c>
      <c r="AA51" s="64">
        <v>6.3740423213461378E-2</v>
      </c>
      <c r="AB51" s="64">
        <v>2.9899389046041325</v>
      </c>
      <c r="AC51" s="64">
        <v>160.42953467850057</v>
      </c>
      <c r="AD51" s="65">
        <v>60.123660722823907</v>
      </c>
      <c r="AE51" s="64">
        <v>4.6300696787208218E-2</v>
      </c>
      <c r="AF51" s="64">
        <v>60.184703720486162</v>
      </c>
      <c r="AG51" s="64">
        <v>-6.1042997662255516E-2</v>
      </c>
      <c r="AH51" s="64">
        <v>9.0199277667999258</v>
      </c>
      <c r="AI51" s="64">
        <v>49.306072233200076</v>
      </c>
      <c r="AJ51" s="64">
        <v>546.63489007842463</v>
      </c>
      <c r="AK51" s="64">
        <v>1.3405022617472839</v>
      </c>
      <c r="AL51" s="64">
        <v>-0.78218182149836224</v>
      </c>
      <c r="AM51" s="64">
        <v>-0.91391904824554615</v>
      </c>
      <c r="AN51" s="64">
        <v>-2.7883391573601223E-2</v>
      </c>
      <c r="AO51" s="64">
        <v>1.3410517119266918</v>
      </c>
      <c r="AP51" s="64">
        <v>5.286947359767372</v>
      </c>
      <c r="AQ51" s="64" t="s">
        <v>330</v>
      </c>
      <c r="AR51" s="64" t="s">
        <v>330</v>
      </c>
      <c r="AS51" s="64">
        <v>5.2869469999999996</v>
      </c>
      <c r="AT51" s="64">
        <v>0.92306604258821112</v>
      </c>
      <c r="AU51" s="64">
        <v>0</v>
      </c>
      <c r="AV51" s="64">
        <v>108.29872232066012</v>
      </c>
      <c r="AW51" s="66">
        <v>0.32893260000000002</v>
      </c>
    </row>
    <row r="52" spans="2:49" ht="15" customHeight="1" thickBot="1" x14ac:dyDescent="0.3">
      <c r="B52" s="57" t="s">
        <v>476</v>
      </c>
      <c r="C52" s="58" t="s">
        <v>477</v>
      </c>
      <c r="D52" s="59"/>
      <c r="E52" s="130"/>
      <c r="F52" s="130"/>
      <c r="G52" s="130"/>
      <c r="H52" s="130"/>
      <c r="I52" s="130"/>
      <c r="J52" s="130"/>
      <c r="K52" s="130"/>
      <c r="L52" s="130"/>
      <c r="M52" s="130"/>
      <c r="N52" s="59" t="s">
        <v>89</v>
      </c>
      <c r="O52" s="60">
        <v>104.65303250153126</v>
      </c>
      <c r="P52" s="61">
        <v>76.396867435935164</v>
      </c>
      <c r="Q52" s="61">
        <v>26.018033020328406</v>
      </c>
      <c r="R52" s="62" t="s">
        <v>1013</v>
      </c>
      <c r="S52" s="63">
        <v>0.11631001766195796</v>
      </c>
      <c r="T52" s="64">
        <v>7.064106819350062E-2</v>
      </c>
      <c r="U52" s="64">
        <v>5.7207383158112335E-3</v>
      </c>
      <c r="V52" s="64">
        <v>0.18012373069280146</v>
      </c>
      <c r="W52" s="64">
        <v>4.7952087289304468E-3</v>
      </c>
      <c r="X52" s="64">
        <v>2.6999515490242026E-2</v>
      </c>
      <c r="Y52" s="64">
        <v>-0.16088504864099132</v>
      </c>
      <c r="Z52" s="64">
        <v>0</v>
      </c>
      <c r="AA52" s="64">
        <v>1.9326288398309608E-2</v>
      </c>
      <c r="AB52" s="64">
        <v>-1.4302020792880836E-2</v>
      </c>
      <c r="AC52" s="64">
        <v>172.61396192483355</v>
      </c>
      <c r="AD52" s="65">
        <v>104653.03250153126</v>
      </c>
      <c r="AE52" s="64">
        <v>0.24724924414386121</v>
      </c>
      <c r="AF52" s="64">
        <v>104.04595320749101</v>
      </c>
      <c r="AG52" s="64">
        <v>0.60707929404023164</v>
      </c>
      <c r="AH52" s="64">
        <v>60.73515387024613</v>
      </c>
      <c r="AI52" s="64">
        <v>43.932846129753877</v>
      </c>
      <c r="AJ52" s="64">
        <v>72.335119498686865</v>
      </c>
      <c r="AK52" s="64">
        <v>2.6642147826413654</v>
      </c>
      <c r="AL52" s="64">
        <v>-1.4572552673398604</v>
      </c>
      <c r="AM52" s="64">
        <v>-1.8395514920320419</v>
      </c>
      <c r="AN52" s="64">
        <v>-1.1491508172239331</v>
      </c>
      <c r="AO52" s="64">
        <v>1.3922643667022017</v>
      </c>
      <c r="AP52" s="64">
        <v>1.8291390000000001</v>
      </c>
      <c r="AQ52" s="64" t="s">
        <v>330</v>
      </c>
      <c r="AR52" s="64">
        <v>2.3553829999999998</v>
      </c>
      <c r="AS52" s="64">
        <v>2.3553829999999998</v>
      </c>
      <c r="AT52" s="64">
        <v>0.47770092100737571</v>
      </c>
      <c r="AU52" s="64">
        <v>0</v>
      </c>
      <c r="AV52" s="64">
        <v>0</v>
      </c>
      <c r="AW52" s="66">
        <v>0.13972602739726028</v>
      </c>
    </row>
    <row r="53" spans="2:49" ht="15" customHeight="1" thickBot="1" x14ac:dyDescent="0.3">
      <c r="B53" s="57" t="s">
        <v>478</v>
      </c>
      <c r="C53" s="58" t="s">
        <v>479</v>
      </c>
      <c r="D53" s="59"/>
      <c r="E53" s="130"/>
      <c r="F53" s="130"/>
      <c r="G53" s="130"/>
      <c r="H53" s="130"/>
      <c r="I53" s="130"/>
      <c r="J53" s="130"/>
      <c r="K53" s="130"/>
      <c r="L53" s="130"/>
      <c r="M53" s="130"/>
      <c r="N53" s="59" t="s">
        <v>89</v>
      </c>
      <c r="O53" s="60">
        <v>93.618078043928776</v>
      </c>
      <c r="P53" s="61">
        <v>124.09543474389646</v>
      </c>
      <c r="Q53" s="61" t="s">
        <v>330</v>
      </c>
      <c r="R53" s="62" t="s">
        <v>1013</v>
      </c>
      <c r="S53" s="63">
        <v>0.12899130830636579</v>
      </c>
      <c r="T53" s="64">
        <v>4.0473273924397236E-2</v>
      </c>
      <c r="U53" s="64">
        <v>3.050711958445175E-3</v>
      </c>
      <c r="V53" s="64">
        <v>0.15658786262091598</v>
      </c>
      <c r="W53" s="64">
        <v>7.1232106739626032E-3</v>
      </c>
      <c r="X53" s="64">
        <v>1.7229209724305514E-2</v>
      </c>
      <c r="Y53" s="64">
        <v>-0.21912981762208664</v>
      </c>
      <c r="Z53" s="64">
        <v>0</v>
      </c>
      <c r="AA53" s="64">
        <v>0.12996556385726607</v>
      </c>
      <c r="AB53" s="64">
        <v>3.0304809746227823</v>
      </c>
      <c r="AC53" s="64">
        <v>171.96948744203144</v>
      </c>
      <c r="AD53" s="65">
        <v>93618.078043928777</v>
      </c>
      <c r="AE53" s="64">
        <v>0.14166123758670635</v>
      </c>
      <c r="AF53" s="64">
        <v>93.099693476943443</v>
      </c>
      <c r="AG53" s="64">
        <v>0.51838456698533264</v>
      </c>
      <c r="AH53" s="64">
        <v>31.376745034843442</v>
      </c>
      <c r="AI53" s="64">
        <v>59.403254965156563</v>
      </c>
      <c r="AJ53" s="64">
        <v>189.32255369124513</v>
      </c>
      <c r="AK53" s="64">
        <v>5.7133821613865727</v>
      </c>
      <c r="AL53" s="64">
        <v>-5.4210292608402959</v>
      </c>
      <c r="AM53" s="64">
        <v>-5.8116326692901206</v>
      </c>
      <c r="AN53" s="64">
        <v>0.64893706565503029</v>
      </c>
      <c r="AO53" s="64">
        <v>5.9715460953727062</v>
      </c>
      <c r="AP53" s="64">
        <v>3.564047</v>
      </c>
      <c r="AQ53" s="64" t="s">
        <v>330</v>
      </c>
      <c r="AR53" s="64" t="s">
        <v>330</v>
      </c>
      <c r="AS53" s="64">
        <v>3.564047</v>
      </c>
      <c r="AT53" s="64">
        <v>0.82616406516782148</v>
      </c>
      <c r="AU53" s="64">
        <v>0</v>
      </c>
      <c r="AV53" s="64">
        <v>0</v>
      </c>
      <c r="AW53" s="66">
        <v>0.67602739726027394</v>
      </c>
    </row>
    <row r="54" spans="2:49" ht="15" customHeight="1" thickBot="1" x14ac:dyDescent="0.3">
      <c r="B54" s="57" t="s">
        <v>296</v>
      </c>
      <c r="C54" s="58" t="s">
        <v>335</v>
      </c>
      <c r="D54" s="59"/>
      <c r="E54" s="130"/>
      <c r="F54" s="130"/>
      <c r="G54" s="130"/>
      <c r="H54" s="130"/>
      <c r="I54" s="130"/>
      <c r="J54" s="130"/>
      <c r="K54" s="130"/>
      <c r="L54" s="130"/>
      <c r="M54" s="130"/>
      <c r="N54" s="59" t="s">
        <v>89</v>
      </c>
      <c r="O54" s="60">
        <v>109.68161417900228</v>
      </c>
      <c r="P54" s="61">
        <v>130.62305598560775</v>
      </c>
      <c r="Q54" s="61" t="s">
        <v>330</v>
      </c>
      <c r="R54" s="62" t="s">
        <v>1013</v>
      </c>
      <c r="S54" s="63">
        <v>0.14133286002603396</v>
      </c>
      <c r="T54" s="64">
        <v>6.4687738365423034E-2</v>
      </c>
      <c r="U54" s="64">
        <v>3.9132502957840284E-3</v>
      </c>
      <c r="V54" s="64">
        <v>0.21217521419398691</v>
      </c>
      <c r="W54" s="64">
        <v>8.0060374852328094E-3</v>
      </c>
      <c r="X54" s="64">
        <v>2.3782259546906249E-2</v>
      </c>
      <c r="Y54" s="64">
        <v>-0.2307219543003052</v>
      </c>
      <c r="Z54" s="64">
        <v>0</v>
      </c>
      <c r="AA54" s="64">
        <v>0.10099580459622143</v>
      </c>
      <c r="AB54" s="64">
        <v>2.7658365549319766</v>
      </c>
      <c r="AC54" s="64">
        <v>159.5965826486632</v>
      </c>
      <c r="AD54" s="65">
        <v>109681.6141790023</v>
      </c>
      <c r="AE54" s="64">
        <v>0.22641738717405605</v>
      </c>
      <c r="AF54" s="64">
        <v>108.78583131766537</v>
      </c>
      <c r="AG54" s="64">
        <v>0.8957828613369202</v>
      </c>
      <c r="AH54" s="64">
        <v>45.769779479101558</v>
      </c>
      <c r="AI54" s="64">
        <v>60.878220520898438</v>
      </c>
      <c r="AJ54" s="64">
        <v>133.00964351094456</v>
      </c>
      <c r="AK54" s="64">
        <v>4.547246292779203</v>
      </c>
      <c r="AL54" s="64">
        <v>-5.0002821255951861</v>
      </c>
      <c r="AM54" s="64">
        <v>-5.4899378238871579</v>
      </c>
      <c r="AN54" s="64">
        <v>0.3558020663748469</v>
      </c>
      <c r="AO54" s="64">
        <v>4.6885849951196334</v>
      </c>
      <c r="AP54" s="64">
        <v>3.4766035764902594</v>
      </c>
      <c r="AQ54" s="64" t="s">
        <v>330</v>
      </c>
      <c r="AR54" s="64" t="s">
        <v>330</v>
      </c>
      <c r="AS54" s="64">
        <v>3.4766035764902594</v>
      </c>
      <c r="AT54" s="64">
        <v>1.9925361938339212</v>
      </c>
      <c r="AU54" s="64">
        <v>0</v>
      </c>
      <c r="AV54" s="64">
        <v>73.760795149876998</v>
      </c>
      <c r="AW54" s="66">
        <v>0.37842465753424659</v>
      </c>
    </row>
    <row r="55" spans="2:49" ht="15" customHeight="1" thickBot="1" x14ac:dyDescent="0.3">
      <c r="B55" s="57" t="s">
        <v>480</v>
      </c>
      <c r="C55" s="58" t="s">
        <v>481</v>
      </c>
      <c r="D55" s="59"/>
      <c r="E55" s="130"/>
      <c r="F55" s="130"/>
      <c r="G55" s="130"/>
      <c r="H55" s="130"/>
      <c r="I55" s="130"/>
      <c r="J55" s="130"/>
      <c r="K55" s="130"/>
      <c r="L55" s="130"/>
      <c r="M55" s="130"/>
      <c r="N55" s="59" t="s">
        <v>89</v>
      </c>
      <c r="O55" s="60">
        <v>111.28853829656767</v>
      </c>
      <c r="P55" s="61">
        <v>56.138876607641471</v>
      </c>
      <c r="Q55" s="61">
        <v>17.540465941415917</v>
      </c>
      <c r="R55" s="62" t="s">
        <v>1013</v>
      </c>
      <c r="S55" s="63">
        <v>0.6051666017516919</v>
      </c>
      <c r="T55" s="64">
        <v>0.61271173285642266</v>
      </c>
      <c r="U55" s="64">
        <v>1.3605905546722193E-2</v>
      </c>
      <c r="V55" s="64">
        <v>0.54691176013905074</v>
      </c>
      <c r="W55" s="64">
        <v>8.0436652121989032E-4</v>
      </c>
      <c r="X55" s="64">
        <v>1.0439595493504874</v>
      </c>
      <c r="Y55" s="64">
        <v>-0.95063149081270115</v>
      </c>
      <c r="Z55" s="64">
        <v>0</v>
      </c>
      <c r="AA55" s="64">
        <v>1.7767216352653735E-2</v>
      </c>
      <c r="AB55" s="64">
        <v>0.20086371875239384</v>
      </c>
      <c r="AC55" s="64">
        <v>135.46357676954185</v>
      </c>
      <c r="AD55" s="65">
        <v>1112.8853829656766</v>
      </c>
      <c r="AE55" s="64">
        <v>0.81814287289047816</v>
      </c>
      <c r="AF55" s="64">
        <v>99.116704624201276</v>
      </c>
      <c r="AG55" s="64">
        <v>12.171833672366393</v>
      </c>
      <c r="AH55" s="64">
        <v>101.24678577484133</v>
      </c>
      <c r="AI55" s="64">
        <v>9.8182142251586697</v>
      </c>
      <c r="AJ55" s="64">
        <v>9.6973095491574437</v>
      </c>
      <c r="AK55" s="64">
        <v>2.119494303345328</v>
      </c>
      <c r="AL55" s="64">
        <v>-1.2107203950974963</v>
      </c>
      <c r="AM55" s="64">
        <v>-2.6121579196867515</v>
      </c>
      <c r="AN55" s="64">
        <v>1.6226366830767346E-2</v>
      </c>
      <c r="AO55" s="64">
        <v>1.090100747397917</v>
      </c>
      <c r="AP55" s="64">
        <v>-0.91775499999999999</v>
      </c>
      <c r="AQ55" s="64" t="s">
        <v>330</v>
      </c>
      <c r="AR55" s="64" t="s">
        <v>330</v>
      </c>
      <c r="AS55" s="64">
        <v>-0.91775499999999999</v>
      </c>
      <c r="AT55" s="64">
        <v>3.0387610858506284</v>
      </c>
      <c r="AU55" s="64">
        <v>0</v>
      </c>
      <c r="AV55" s="64">
        <v>0</v>
      </c>
      <c r="AW55" s="66">
        <v>1.5375000000000001</v>
      </c>
    </row>
    <row r="56" spans="2:49" ht="15" customHeight="1" thickBot="1" x14ac:dyDescent="0.3">
      <c r="B56" s="57" t="s">
        <v>482</v>
      </c>
      <c r="C56" s="58" t="s">
        <v>483</v>
      </c>
      <c r="D56" s="59"/>
      <c r="E56" s="130"/>
      <c r="F56" s="130"/>
      <c r="G56" s="130"/>
      <c r="H56" s="130"/>
      <c r="I56" s="130"/>
      <c r="J56" s="130"/>
      <c r="K56" s="130"/>
      <c r="L56" s="130"/>
      <c r="M56" s="130"/>
      <c r="N56" s="59" t="s">
        <v>89</v>
      </c>
      <c r="O56" s="60">
        <v>92.022694714410775</v>
      </c>
      <c r="P56" s="61">
        <v>193.78594671988506</v>
      </c>
      <c r="Q56" s="61">
        <v>92.548353203455335</v>
      </c>
      <c r="R56" s="62" t="s">
        <v>1013</v>
      </c>
      <c r="S56" s="63">
        <v>0.10701514621306482</v>
      </c>
      <c r="T56" s="64">
        <v>3.2753791577092572E-2</v>
      </c>
      <c r="U56" s="64">
        <v>2.5540441261612408E-3</v>
      </c>
      <c r="V56" s="64">
        <v>6.8135403384701476E-2</v>
      </c>
      <c r="W56" s="64">
        <v>1.3039446256198062E-2</v>
      </c>
      <c r="X56" s="64">
        <v>4.999369586685859E-2</v>
      </c>
      <c r="Y56" s="64">
        <v>-5.0407768361780229E-2</v>
      </c>
      <c r="Z56" s="64">
        <v>0</v>
      </c>
      <c r="AA56" s="64">
        <v>5.2733296174275343E-2</v>
      </c>
      <c r="AB56" s="64">
        <v>-3.8635092100084432</v>
      </c>
      <c r="AC56" s="64">
        <v>147.08109419587194</v>
      </c>
      <c r="AD56" s="65">
        <v>920.22694714410773</v>
      </c>
      <c r="AE56" s="64">
        <v>7.3637442827404961E-2</v>
      </c>
      <c r="AF56" s="64">
        <v>92.025201286850645</v>
      </c>
      <c r="AG56" s="64">
        <v>-2.5065724398700695E-3</v>
      </c>
      <c r="AH56" s="64">
        <v>30.606687685012822</v>
      </c>
      <c r="AI56" s="64">
        <v>64.971312314987188</v>
      </c>
      <c r="AJ56" s="64">
        <v>212.27815627628891</v>
      </c>
      <c r="AK56" s="64">
        <v>1.6134791076099497</v>
      </c>
      <c r="AL56" s="64">
        <v>-1.4754823913189625</v>
      </c>
      <c r="AM56" s="64">
        <v>-1.7990846387461943</v>
      </c>
      <c r="AN56" s="64">
        <v>-0.59204819803608233</v>
      </c>
      <c r="AO56" s="64">
        <v>1.5437468782763422</v>
      </c>
      <c r="AP56" s="64">
        <v>5.0523471795870076</v>
      </c>
      <c r="AQ56" s="64" t="s">
        <v>330</v>
      </c>
      <c r="AR56" s="64" t="s">
        <v>330</v>
      </c>
      <c r="AS56" s="64">
        <v>5.0523470000000001</v>
      </c>
      <c r="AT56" s="64">
        <v>2.3540982234405403</v>
      </c>
      <c r="AU56" s="64">
        <v>102.60743117722811</v>
      </c>
      <c r="AV56" s="64">
        <v>37.553732749424576</v>
      </c>
      <c r="AW56" s="66">
        <v>0.75</v>
      </c>
    </row>
    <row r="57" spans="2:49" ht="15" customHeight="1" thickBot="1" x14ac:dyDescent="0.3">
      <c r="B57" s="57" t="s">
        <v>484</v>
      </c>
      <c r="C57" s="58" t="s">
        <v>485</v>
      </c>
      <c r="D57" s="59"/>
      <c r="E57" s="130"/>
      <c r="F57" s="130"/>
      <c r="G57" s="130"/>
      <c r="H57" s="130"/>
      <c r="I57" s="130"/>
      <c r="J57" s="130"/>
      <c r="K57" s="130"/>
      <c r="L57" s="130"/>
      <c r="M57" s="130"/>
      <c r="N57" s="59" t="s">
        <v>89</v>
      </c>
      <c r="O57" s="60">
        <v>115.00965841144344</v>
      </c>
      <c r="P57" s="61">
        <v>327.42945662502325</v>
      </c>
      <c r="Q57" s="61">
        <v>16.472160024287636</v>
      </c>
      <c r="R57" s="62" t="s">
        <v>1013</v>
      </c>
      <c r="S57" s="63">
        <v>0.85387171716761878</v>
      </c>
      <c r="T57" s="64">
        <v>0.92785832805712432</v>
      </c>
      <c r="U57" s="64">
        <v>1.6291692385486251E-2</v>
      </c>
      <c r="V57" s="64">
        <v>0.32530395836084836</v>
      </c>
      <c r="W57" s="64">
        <v>2.3006391431636074E-3</v>
      </c>
      <c r="X57" s="64">
        <v>0.32985822580027374</v>
      </c>
      <c r="Y57" s="64">
        <v>-0.55883344054464335</v>
      </c>
      <c r="Z57" s="64">
        <v>0</v>
      </c>
      <c r="AA57" s="64">
        <v>3.852960168463318E-2</v>
      </c>
      <c r="AB57" s="64">
        <v>2.1751724559461252</v>
      </c>
      <c r="AC57" s="64">
        <v>0</v>
      </c>
      <c r="AD57" s="65">
        <v>1150.0965841144343</v>
      </c>
      <c r="AE57" s="64">
        <v>2.3240442965408299</v>
      </c>
      <c r="AF57" s="64">
        <v>100.07113769081337</v>
      </c>
      <c r="AG57" s="64">
        <v>14.938520720630072</v>
      </c>
      <c r="AH57" s="64">
        <v>108.67843195892335</v>
      </c>
      <c r="AI57" s="64">
        <v>3.8295680410766408</v>
      </c>
      <c r="AJ57" s="64">
        <v>3.5237608530495574</v>
      </c>
      <c r="AK57" s="64">
        <v>0.81166155922508676</v>
      </c>
      <c r="AL57" s="64">
        <v>-0.27544806646142206</v>
      </c>
      <c r="AM57" s="64">
        <v>-0.9386691362608417</v>
      </c>
      <c r="AN57" s="64">
        <v>-1.0441673204979787</v>
      </c>
      <c r="AO57" s="64">
        <v>0.24482531594324144</v>
      </c>
      <c r="AP57" s="64">
        <v>-9.8180619999999994</v>
      </c>
      <c r="AQ57" s="64" t="s">
        <v>330</v>
      </c>
      <c r="AR57" s="64" t="s">
        <v>330</v>
      </c>
      <c r="AS57" s="64">
        <v>-9.8180619999999994</v>
      </c>
      <c r="AT57" s="64">
        <v>3.7775091549045405</v>
      </c>
      <c r="AU57" s="64">
        <v>2.5570412173367059</v>
      </c>
      <c r="AV57" s="64">
        <v>2.4252750344357068</v>
      </c>
      <c r="AW57" s="66">
        <v>0.70833333333333337</v>
      </c>
    </row>
    <row r="58" spans="2:49" ht="15" customHeight="1" thickBot="1" x14ac:dyDescent="0.3">
      <c r="B58" s="57" t="s">
        <v>297</v>
      </c>
      <c r="C58" s="58" t="s">
        <v>336</v>
      </c>
      <c r="D58" s="59"/>
      <c r="E58" s="130"/>
      <c r="F58" s="130"/>
      <c r="G58" s="130"/>
      <c r="H58" s="130"/>
      <c r="I58" s="130"/>
      <c r="J58" s="130"/>
      <c r="K58" s="130"/>
      <c r="L58" s="130"/>
      <c r="M58" s="130"/>
      <c r="N58" s="59" t="s">
        <v>89</v>
      </c>
      <c r="O58" s="60">
        <v>125.32480389046974</v>
      </c>
      <c r="P58" s="61">
        <v>307.49030645295079</v>
      </c>
      <c r="Q58" s="61">
        <v>65.890723097825784</v>
      </c>
      <c r="R58" s="62" t="s">
        <v>1013</v>
      </c>
      <c r="S58" s="63">
        <v>0.78374478220683219</v>
      </c>
      <c r="T58" s="64">
        <v>0.810245334881603</v>
      </c>
      <c r="U58" s="64">
        <v>2.6428020010819814E-3</v>
      </c>
      <c r="V58" s="64">
        <v>0.4094536084690617</v>
      </c>
      <c r="W58" s="64">
        <v>-3.9503344208469569E-3</v>
      </c>
      <c r="X58" s="64">
        <v>0</v>
      </c>
      <c r="Y58" s="64">
        <v>-1.1483082671852489</v>
      </c>
      <c r="Z58" s="64">
        <v>0</v>
      </c>
      <c r="AA58" s="64">
        <v>0.10443118799771031</v>
      </c>
      <c r="AB58" s="64">
        <v>-1.7859163071073967</v>
      </c>
      <c r="AC58" s="64">
        <v>148.36349976451376</v>
      </c>
      <c r="AD58" s="65">
        <v>1253.2480389046973</v>
      </c>
      <c r="AE58" s="64">
        <v>0.234974236307505</v>
      </c>
      <c r="AF58" s="64">
        <v>73.372578048044389</v>
      </c>
      <c r="AG58" s="64">
        <v>51.952225842425335</v>
      </c>
      <c r="AH58" s="64">
        <v>103.38127325073242</v>
      </c>
      <c r="AI58" s="64">
        <v>24.181726749267582</v>
      </c>
      <c r="AJ58" s="64">
        <v>23.390819235335993</v>
      </c>
      <c r="AK58" s="64">
        <v>2.7781078606459668</v>
      </c>
      <c r="AL58" s="64">
        <v>-1.6192737803664841</v>
      </c>
      <c r="AM58" s="64">
        <v>-2.5819824651177896</v>
      </c>
      <c r="AN58" s="64">
        <v>-0.39950355214552663</v>
      </c>
      <c r="AO58" s="64">
        <v>1.2693914225649161</v>
      </c>
      <c r="AP58" s="64">
        <v>-5.1676169999999999</v>
      </c>
      <c r="AQ58" s="64" t="s">
        <v>330</v>
      </c>
      <c r="AR58" s="64" t="s">
        <v>330</v>
      </c>
      <c r="AS58" s="64">
        <v>-5.1676169999999999</v>
      </c>
      <c r="AT58" s="64">
        <v>0.19598159340874705</v>
      </c>
      <c r="AU58" s="64">
        <v>96.726906997070358</v>
      </c>
      <c r="AV58" s="64">
        <v>96.726906997070358</v>
      </c>
      <c r="AW58" s="66">
        <v>9.7222222222222224E-3</v>
      </c>
    </row>
    <row r="59" spans="2:49" ht="15" customHeight="1" thickBot="1" x14ac:dyDescent="0.3">
      <c r="B59" s="57" t="s">
        <v>486</v>
      </c>
      <c r="C59" s="58" t="s">
        <v>487</v>
      </c>
      <c r="D59" s="59"/>
      <c r="E59" s="130"/>
      <c r="F59" s="130"/>
      <c r="G59" s="130"/>
      <c r="H59" s="130"/>
      <c r="I59" s="130"/>
      <c r="J59" s="130"/>
      <c r="K59" s="130"/>
      <c r="L59" s="130"/>
      <c r="M59" s="130"/>
      <c r="N59" s="59" t="s">
        <v>89</v>
      </c>
      <c r="O59" s="60">
        <v>110.58159409652438</v>
      </c>
      <c r="P59" s="61">
        <v>37.875358209497222</v>
      </c>
      <c r="Q59" s="61">
        <v>69.351484685678216</v>
      </c>
      <c r="R59" s="62" t="s">
        <v>1013</v>
      </c>
      <c r="S59" s="63">
        <v>0.52944393743137741</v>
      </c>
      <c r="T59" s="64">
        <v>0.49298168545360904</v>
      </c>
      <c r="U59" s="64">
        <v>7.4216408981626425E-3</v>
      </c>
      <c r="V59" s="64">
        <v>0.25178737094481674</v>
      </c>
      <c r="W59" s="64">
        <v>-2.5930811951911891E-2</v>
      </c>
      <c r="X59" s="64">
        <v>0</v>
      </c>
      <c r="Y59" s="64">
        <v>-0.18630910202637541</v>
      </c>
      <c r="Z59" s="64">
        <v>0</v>
      </c>
      <c r="AA59" s="64">
        <v>2.7253065633547594E-3</v>
      </c>
      <c r="AB59" s="64">
        <v>-2.1336334701560982</v>
      </c>
      <c r="AC59" s="64">
        <v>148.2621789609955</v>
      </c>
      <c r="AD59" s="65">
        <v>1105.8159409652437</v>
      </c>
      <c r="AE59" s="64">
        <v>0.14308064516723301</v>
      </c>
      <c r="AF59" s="64">
        <v>95.610585426319929</v>
      </c>
      <c r="AG59" s="64">
        <v>14.971008670204448</v>
      </c>
      <c r="AH59" s="64">
        <v>93.156295647583008</v>
      </c>
      <c r="AI59" s="64">
        <v>19.827137852783181</v>
      </c>
      <c r="AJ59" s="64">
        <v>21.293433002956817</v>
      </c>
      <c r="AK59" s="64">
        <v>0.54554907637724226</v>
      </c>
      <c r="AL59" s="64">
        <v>-0.37341914316289149</v>
      </c>
      <c r="AM59" s="64">
        <v>-0.66942365753970989</v>
      </c>
      <c r="AN59" s="64">
        <v>-0.19798275734840681</v>
      </c>
      <c r="AO59" s="64">
        <v>0.3306320496213877</v>
      </c>
      <c r="AP59" s="64">
        <v>-18.102392999999999</v>
      </c>
      <c r="AQ59" s="64" t="s">
        <v>330</v>
      </c>
      <c r="AR59" s="64" t="s">
        <v>330</v>
      </c>
      <c r="AS59" s="64">
        <v>-18.102392999999999</v>
      </c>
      <c r="AT59" s="64">
        <v>0.44270902506618498</v>
      </c>
      <c r="AU59" s="64">
        <v>39.569408704833997</v>
      </c>
      <c r="AV59" s="64">
        <v>39.569408704833997</v>
      </c>
      <c r="AW59" s="66">
        <v>0.18611111111111112</v>
      </c>
    </row>
    <row r="60" spans="2:49" ht="15" customHeight="1" thickBot="1" x14ac:dyDescent="0.3">
      <c r="B60" s="57" t="s">
        <v>298</v>
      </c>
      <c r="C60" s="58" t="s">
        <v>337</v>
      </c>
      <c r="D60" s="59"/>
      <c r="E60" s="130"/>
      <c r="F60" s="130"/>
      <c r="G60" s="130"/>
      <c r="H60" s="130"/>
      <c r="I60" s="130"/>
      <c r="J60" s="130"/>
      <c r="K60" s="130"/>
      <c r="L60" s="130"/>
      <c r="M60" s="130"/>
      <c r="N60" s="59" t="s">
        <v>89</v>
      </c>
      <c r="O60" s="60">
        <v>97.647475960005934</v>
      </c>
      <c r="P60" s="61">
        <v>127.47421561695556</v>
      </c>
      <c r="Q60" s="61" t="s">
        <v>330</v>
      </c>
      <c r="R60" s="62" t="s">
        <v>1013</v>
      </c>
      <c r="S60" s="63">
        <v>8.6305521338830724E-2</v>
      </c>
      <c r="T60" s="64">
        <v>3.7936646440334933E-2</v>
      </c>
      <c r="U60" s="64">
        <v>3.3169154414784581E-3</v>
      </c>
      <c r="V60" s="64">
        <v>0.11393033109555108</v>
      </c>
      <c r="W60" s="64">
        <v>7.6459873214625987E-3</v>
      </c>
      <c r="X60" s="64">
        <v>-2.2149824163111887E-2</v>
      </c>
      <c r="Y60" s="64">
        <v>-9.9724866563535866E-2</v>
      </c>
      <c r="Z60" s="64">
        <v>0</v>
      </c>
      <c r="AA60" s="64">
        <v>6.5919131591534313E-2</v>
      </c>
      <c r="AB60" s="64">
        <v>0.79927919522015511</v>
      </c>
      <c r="AC60" s="64">
        <v>137.74940328994285</v>
      </c>
      <c r="AD60" s="65">
        <v>97647.475960005933</v>
      </c>
      <c r="AE60" s="64">
        <v>0.69813635958984732</v>
      </c>
      <c r="AF60" s="64">
        <v>97.48567279733328</v>
      </c>
      <c r="AG60" s="64">
        <v>0.16180316267265879</v>
      </c>
      <c r="AH60" s="64">
        <v>43.956221863718021</v>
      </c>
      <c r="AI60" s="64">
        <v>52.910778136281984</v>
      </c>
      <c r="AJ60" s="64">
        <v>120.37153306834854</v>
      </c>
      <c r="AK60" s="64">
        <v>3.1313519977723132</v>
      </c>
      <c r="AL60" s="64">
        <v>-3.3130167876061751</v>
      </c>
      <c r="AM60" s="64">
        <v>-3.449710674018279</v>
      </c>
      <c r="AN60" s="64">
        <v>0.18109472291379647</v>
      </c>
      <c r="AO60" s="64">
        <v>3.4201707367897995</v>
      </c>
      <c r="AP60" s="64">
        <v>3.4005956240118169</v>
      </c>
      <c r="AQ60" s="64" t="s">
        <v>330</v>
      </c>
      <c r="AR60" s="64" t="s">
        <v>330</v>
      </c>
      <c r="AS60" s="64">
        <v>3.4005960000000002</v>
      </c>
      <c r="AT60" s="64">
        <v>2.4518153757213499</v>
      </c>
      <c r="AU60" s="64">
        <v>46.352856856011911</v>
      </c>
      <c r="AV60" s="64">
        <v>29.230503629483358</v>
      </c>
      <c r="AW60" s="66">
        <v>0.58084239130434789</v>
      </c>
    </row>
    <row r="61" spans="2:49" ht="15" customHeight="1" x14ac:dyDescent="0.25">
      <c r="B61" s="57" t="s">
        <v>488</v>
      </c>
      <c r="C61" s="58" t="s">
        <v>489</v>
      </c>
      <c r="D61" s="59"/>
      <c r="E61" s="130"/>
      <c r="F61" s="130"/>
      <c r="G61" s="130"/>
      <c r="H61" s="130"/>
      <c r="I61" s="130"/>
      <c r="J61" s="130"/>
      <c r="K61" s="130"/>
      <c r="L61" s="130"/>
      <c r="M61" s="130"/>
      <c r="N61" s="59" t="s">
        <v>89</v>
      </c>
      <c r="O61" s="60">
        <v>104.00995351200871</v>
      </c>
      <c r="P61" s="61">
        <v>111.24117625904373</v>
      </c>
      <c r="Q61" s="61">
        <v>40</v>
      </c>
      <c r="R61" s="62" t="s">
        <v>1013</v>
      </c>
      <c r="S61" s="63">
        <v>0.56916051352974861</v>
      </c>
      <c r="T61" s="64">
        <v>0.52216382478603318</v>
      </c>
      <c r="U61" s="64">
        <v>9.9272323124887062E-3</v>
      </c>
      <c r="V61" s="64">
        <v>0.54673380356659895</v>
      </c>
      <c r="W61" s="64">
        <v>1.1165172172241001E-3</v>
      </c>
      <c r="X61" s="64">
        <v>0.82190697834205428</v>
      </c>
      <c r="Y61" s="64">
        <v>-1.0128890476426704</v>
      </c>
      <c r="Z61" s="64">
        <v>0</v>
      </c>
      <c r="AA61" s="64">
        <v>3.9739457774107048E-2</v>
      </c>
      <c r="AB61" s="64">
        <v>-7.5377848208403559</v>
      </c>
      <c r="AC61" s="64">
        <v>137.61509907175926</v>
      </c>
      <c r="AD61" s="65">
        <v>1040.099535120087</v>
      </c>
      <c r="AE61" s="64">
        <v>0.80110650008821926</v>
      </c>
      <c r="AF61" s="64">
        <v>91.038214028984513</v>
      </c>
      <c r="AG61" s="64">
        <v>12.971739483024191</v>
      </c>
      <c r="AH61" s="64">
        <v>91.742805829544068</v>
      </c>
      <c r="AI61" s="64">
        <v>20.107194170455926</v>
      </c>
      <c r="AJ61" s="64">
        <v>21.916916524021087</v>
      </c>
      <c r="AK61" s="64">
        <v>2.4483099078005734</v>
      </c>
      <c r="AL61" s="64">
        <v>-1.6030088035638528</v>
      </c>
      <c r="AM61" s="64">
        <v>-2.952389803330334</v>
      </c>
      <c r="AN61" s="64">
        <v>0.11372658761559144</v>
      </c>
      <c r="AO61" s="64">
        <v>1.4331772942010306</v>
      </c>
      <c r="AP61" s="64">
        <v>-0.179254</v>
      </c>
      <c r="AQ61" s="64" t="s">
        <v>330</v>
      </c>
      <c r="AR61" s="64" t="s">
        <v>330</v>
      </c>
      <c r="AS61" s="64">
        <v>-0.179254</v>
      </c>
      <c r="AT61" s="64">
        <v>3.4644613321412607</v>
      </c>
      <c r="AU61" s="64">
        <v>15.272112291299491</v>
      </c>
      <c r="AV61" s="64">
        <v>11.319154467999864</v>
      </c>
      <c r="AW61" s="66">
        <v>0.32291666666666669</v>
      </c>
    </row>
    <row r="62" spans="2:49" ht="15" customHeight="1" x14ac:dyDescent="0.2">
      <c r="B62" t="s">
        <v>490</v>
      </c>
      <c r="C62" t="s">
        <v>491</v>
      </c>
      <c r="N62" t="s">
        <v>89</v>
      </c>
      <c r="O62">
        <v>116.13831327365327</v>
      </c>
      <c r="P62">
        <v>140.49635062409709</v>
      </c>
      <c r="Q62">
        <v>51.024099495711525</v>
      </c>
      <c r="R62" t="s">
        <v>1013</v>
      </c>
      <c r="S62">
        <v>0.72629078355642607</v>
      </c>
      <c r="T62">
        <v>0.79255819077258438</v>
      </c>
      <c r="U62">
        <v>5.0523942908764063E-3</v>
      </c>
      <c r="V62">
        <v>0.74684900103987195</v>
      </c>
      <c r="W62">
        <v>-7.8716332425363359E-3</v>
      </c>
      <c r="X62">
        <v>-1.1970901728274206</v>
      </c>
      <c r="Y62">
        <v>-1.6059984860276972</v>
      </c>
      <c r="Z62">
        <v>0</v>
      </c>
      <c r="AA62">
        <v>6.5437893189789528E-2</v>
      </c>
      <c r="AB62">
        <v>-8.1038603549977957</v>
      </c>
      <c r="AC62">
        <v>0</v>
      </c>
      <c r="AD62">
        <v>11613831.327365328</v>
      </c>
      <c r="AE62">
        <v>4.8194478001770159E-2</v>
      </c>
      <c r="AF62">
        <v>81.357286649097233</v>
      </c>
      <c r="AG62">
        <v>34.781026624556041</v>
      </c>
      <c r="AH62">
        <v>109.12408758536999</v>
      </c>
      <c r="AI62">
        <v>16.425912414630005</v>
      </c>
      <c r="AJ62">
        <v>15.052508367393843</v>
      </c>
      <c r="AK62">
        <v>3.5683066852591168</v>
      </c>
      <c r="AL62">
        <v>-1.9675082164756021</v>
      </c>
      <c r="AM62">
        <v>-3.9731528239369394</v>
      </c>
      <c r="AN62">
        <v>0.18262030937486748</v>
      </c>
      <c r="AO62">
        <v>1.5671112835329368</v>
      </c>
      <c r="AP62">
        <v>-5.4234400000000003</v>
      </c>
      <c r="AQ62" t="s">
        <v>330</v>
      </c>
      <c r="AR62" t="s">
        <v>330</v>
      </c>
      <c r="AS62">
        <v>-5.4234400000000003</v>
      </c>
      <c r="AT62">
        <v>0</v>
      </c>
      <c r="AU62">
        <v>0</v>
      </c>
      <c r="AV62">
        <v>0</v>
      </c>
      <c r="AW62">
        <v>0</v>
      </c>
    </row>
    <row r="63" spans="2:49" ht="15" customHeight="1" x14ac:dyDescent="0.2">
      <c r="B63" t="s">
        <v>492</v>
      </c>
      <c r="C63" t="s">
        <v>493</v>
      </c>
      <c r="N63" t="s">
        <v>89</v>
      </c>
      <c r="O63">
        <v>137.88827696646169</v>
      </c>
      <c r="P63">
        <v>252.37248453174678</v>
      </c>
      <c r="Q63">
        <v>69.863215657512697</v>
      </c>
      <c r="R63" t="s">
        <v>1013</v>
      </c>
      <c r="S63">
        <v>0.66505004937918621</v>
      </c>
      <c r="T63">
        <v>0.81664887311824541</v>
      </c>
      <c r="U63">
        <v>6.0654192231585601E-3</v>
      </c>
      <c r="V63">
        <v>0.22828596982146793</v>
      </c>
      <c r="W63">
        <v>-2.6212292774494016E-2</v>
      </c>
      <c r="X63">
        <v>0</v>
      </c>
      <c r="Y63">
        <v>-0.22110566450160599</v>
      </c>
      <c r="Z63">
        <v>0</v>
      </c>
      <c r="AA63">
        <v>1.9548294225903807E-2</v>
      </c>
      <c r="AB63">
        <v>-0.89835268145353975</v>
      </c>
      <c r="AC63">
        <v>149.6300427526669</v>
      </c>
      <c r="AD63">
        <v>1378.8827696646167</v>
      </c>
      <c r="AE63">
        <v>1.3036556241053379</v>
      </c>
      <c r="AF63">
        <v>93.8047180434437</v>
      </c>
      <c r="AG63">
        <v>44.083558923017982</v>
      </c>
      <c r="AH63">
        <v>122.83425748615267</v>
      </c>
      <c r="AI63">
        <v>16.292742513847344</v>
      </c>
      <c r="AJ63">
        <v>13.264005373813617</v>
      </c>
      <c r="AK63">
        <v>0.67014907445101635</v>
      </c>
      <c r="AL63">
        <v>-0.48195006781145366</v>
      </c>
      <c r="AM63">
        <v>-0.89771576265889053</v>
      </c>
      <c r="AN63">
        <v>-0.78420636350093564</v>
      </c>
      <c r="AO63">
        <v>0.34641016324038731</v>
      </c>
      <c r="AP63">
        <v>-15.582954096763027</v>
      </c>
      <c r="AQ63" t="s">
        <v>330</v>
      </c>
      <c r="AR63" t="s">
        <v>330</v>
      </c>
      <c r="AS63">
        <v>-15.582954000000001</v>
      </c>
      <c r="AT63">
        <v>2.51568710602543</v>
      </c>
      <c r="AU63">
        <v>4.655069289670668</v>
      </c>
      <c r="AV63">
        <v>4.655069289670668</v>
      </c>
      <c r="AW63">
        <v>1.0111111111111111</v>
      </c>
    </row>
    <row r="64" spans="2:49" ht="15" customHeight="1" x14ac:dyDescent="0.2">
      <c r="B64" t="s">
        <v>494</v>
      </c>
      <c r="C64" t="s">
        <v>495</v>
      </c>
      <c r="N64" t="s">
        <v>89</v>
      </c>
      <c r="O64">
        <v>139.26823236420142</v>
      </c>
      <c r="P64">
        <v>162.58081991064358</v>
      </c>
      <c r="Q64">
        <v>52.560274128183771</v>
      </c>
      <c r="R64" t="s">
        <v>1013</v>
      </c>
      <c r="S64">
        <v>0.83422517300154031</v>
      </c>
      <c r="T64">
        <v>1.1605748544179664</v>
      </c>
      <c r="U64">
        <v>3.7095121886144031E-3</v>
      </c>
      <c r="V64">
        <v>0.79931596172558139</v>
      </c>
      <c r="W64">
        <v>1.4117403078079225E-3</v>
      </c>
      <c r="X64">
        <v>-1.4866029960154057</v>
      </c>
      <c r="Y64">
        <v>-1.6848107079373791</v>
      </c>
      <c r="Z64">
        <v>0</v>
      </c>
      <c r="AA64">
        <v>6.4617654094859839E-2</v>
      </c>
      <c r="AB64">
        <v>-6.1713769823130464</v>
      </c>
      <c r="AC64">
        <v>0</v>
      </c>
      <c r="AD64">
        <v>13926823.236420143</v>
      </c>
      <c r="AE64">
        <v>2.4193763888055903E-2</v>
      </c>
      <c r="AF64">
        <v>77.836353129281605</v>
      </c>
      <c r="AG64">
        <v>61.431879234919805</v>
      </c>
      <c r="AH64">
        <v>139.12009514675998</v>
      </c>
      <c r="AI64">
        <v>8.7429048532400202</v>
      </c>
      <c r="AJ64">
        <v>6.2844298977922586</v>
      </c>
      <c r="AK64">
        <v>3.5366778228337616</v>
      </c>
      <c r="AL64">
        <v>-1.7776227094817907</v>
      </c>
      <c r="AM64">
        <v>-4.2488313458232208</v>
      </c>
      <c r="AN64">
        <v>0.1869303395780218</v>
      </c>
      <c r="AO64">
        <v>1.202209281214226</v>
      </c>
      <c r="AP64">
        <v>-7.6633632966888303</v>
      </c>
      <c r="AQ64" t="s">
        <v>330</v>
      </c>
      <c r="AR64" t="s">
        <v>330</v>
      </c>
      <c r="AS64">
        <v>-7.6633630000000004</v>
      </c>
      <c r="AT64">
        <v>0</v>
      </c>
      <c r="AU64">
        <v>0</v>
      </c>
      <c r="AV64">
        <v>0</v>
      </c>
      <c r="AW64">
        <v>0</v>
      </c>
    </row>
    <row r="65" spans="2:49" ht="15" customHeight="1" x14ac:dyDescent="0.2">
      <c r="B65" t="s">
        <v>496</v>
      </c>
      <c r="C65" t="s">
        <v>497</v>
      </c>
      <c r="N65" t="s">
        <v>89</v>
      </c>
      <c r="O65">
        <v>137.56823170620427</v>
      </c>
      <c r="P65">
        <v>191.61565640987189</v>
      </c>
      <c r="Q65">
        <v>49.624143232605626</v>
      </c>
      <c r="R65" t="s">
        <v>1013</v>
      </c>
      <c r="S65">
        <v>0.83362482984303554</v>
      </c>
      <c r="T65">
        <v>1.1377961386550384</v>
      </c>
      <c r="U65">
        <v>4.7185003751865412E-3</v>
      </c>
      <c r="V65">
        <v>0.63573358154348103</v>
      </c>
      <c r="W65">
        <v>1.3203636636398733E-3</v>
      </c>
      <c r="X65">
        <v>-1.1447478290828534</v>
      </c>
      <c r="Y65">
        <v>-1.1418620759393863</v>
      </c>
      <c r="Z65">
        <v>0</v>
      </c>
      <c r="AA65">
        <v>4.8442860040822142E-2</v>
      </c>
      <c r="AB65">
        <v>-4.0378277927266542</v>
      </c>
      <c r="AC65">
        <v>0</v>
      </c>
      <c r="AD65">
        <v>13756823.170620427</v>
      </c>
      <c r="AE65">
        <v>2.3718910541068131E-2</v>
      </c>
      <c r="AF65">
        <v>86.547068970808951</v>
      </c>
      <c r="AG65">
        <v>51.021162735395322</v>
      </c>
      <c r="AH65">
        <v>136.48779378</v>
      </c>
      <c r="AI65">
        <v>6.6352062199999864</v>
      </c>
      <c r="AJ65">
        <v>4.8613916572606097</v>
      </c>
      <c r="AK65">
        <v>2.1693851866400795</v>
      </c>
      <c r="AL65">
        <v>-0.99893148054927583</v>
      </c>
      <c r="AM65">
        <v>-2.9516747291194276</v>
      </c>
      <c r="AN65">
        <v>-1.5281626358841187</v>
      </c>
      <c r="AO65">
        <v>0.69795314558056765</v>
      </c>
      <c r="AP65">
        <v>-11.598234</v>
      </c>
      <c r="AQ65" t="s">
        <v>330</v>
      </c>
      <c r="AR65" t="s">
        <v>330</v>
      </c>
      <c r="AS65">
        <v>-11.598234</v>
      </c>
      <c r="AT65">
        <v>0</v>
      </c>
      <c r="AU65">
        <v>0</v>
      </c>
      <c r="AV65">
        <v>0</v>
      </c>
      <c r="AW65">
        <v>0</v>
      </c>
    </row>
    <row r="66" spans="2:49" ht="15" customHeight="1" x14ac:dyDescent="0.2">
      <c r="B66" t="s">
        <v>498</v>
      </c>
      <c r="C66" t="s">
        <v>499</v>
      </c>
      <c r="N66" t="s">
        <v>89</v>
      </c>
      <c r="O66">
        <v>91.947254069752859</v>
      </c>
      <c r="P66" t="s">
        <v>330</v>
      </c>
      <c r="Q66">
        <v>43.743827443908195</v>
      </c>
      <c r="R66" t="s">
        <v>1013</v>
      </c>
      <c r="S66" t="s">
        <v>330</v>
      </c>
      <c r="T66" t="s">
        <v>330</v>
      </c>
      <c r="U66" t="s">
        <v>330</v>
      </c>
      <c r="V66" t="s">
        <v>330</v>
      </c>
      <c r="W66" t="s">
        <v>330</v>
      </c>
      <c r="X66" t="s">
        <v>330</v>
      </c>
      <c r="Y66" t="s">
        <v>330</v>
      </c>
      <c r="Z66" t="s">
        <v>330</v>
      </c>
      <c r="AA66" t="s">
        <v>330</v>
      </c>
      <c r="AB66">
        <v>-17.989385433630275</v>
      </c>
      <c r="AC66">
        <v>0</v>
      </c>
      <c r="AD66">
        <v>9194725.4069752861</v>
      </c>
      <c r="AE66">
        <v>1.786603253353411E-2</v>
      </c>
      <c r="AF66">
        <v>79.790774762480225</v>
      </c>
      <c r="AG66">
        <v>12.156479307272638</v>
      </c>
      <c r="AH66">
        <v>97.22434041599999</v>
      </c>
      <c r="AI66">
        <v>11.26365958400001</v>
      </c>
      <c r="AJ66">
        <v>11.585226020362258</v>
      </c>
      <c r="AK66">
        <v>2.9480913935056923</v>
      </c>
      <c r="AL66">
        <v>-0.31241318733012302</v>
      </c>
      <c r="AM66">
        <v>0.45971757965069265</v>
      </c>
      <c r="AN66">
        <v>1.9378944342594628</v>
      </c>
      <c r="AO66">
        <v>0.33977435268824963</v>
      </c>
      <c r="AP66">
        <v>-1.8141160000000001</v>
      </c>
      <c r="AQ66" t="s">
        <v>330</v>
      </c>
      <c r="AR66" t="s">
        <v>330</v>
      </c>
      <c r="AS66">
        <v>-1.8141160000000001</v>
      </c>
      <c r="AT66">
        <v>0</v>
      </c>
      <c r="AU66">
        <v>0</v>
      </c>
      <c r="AV66">
        <v>0</v>
      </c>
      <c r="AW66">
        <v>0</v>
      </c>
    </row>
    <row r="67" spans="2:49" ht="15" customHeight="1" x14ac:dyDescent="0.2">
      <c r="B67" t="s">
        <v>500</v>
      </c>
      <c r="C67" t="s">
        <v>501</v>
      </c>
      <c r="N67" t="s">
        <v>89</v>
      </c>
      <c r="O67">
        <v>93.056889084123696</v>
      </c>
      <c r="P67" t="s">
        <v>330</v>
      </c>
      <c r="Q67">
        <v>41.298049143074643</v>
      </c>
      <c r="R67" t="s">
        <v>1013</v>
      </c>
      <c r="S67" t="s">
        <v>330</v>
      </c>
      <c r="T67" t="s">
        <v>330</v>
      </c>
      <c r="U67" t="s">
        <v>330</v>
      </c>
      <c r="V67" t="s">
        <v>330</v>
      </c>
      <c r="W67" t="s">
        <v>330</v>
      </c>
      <c r="X67" t="s">
        <v>330</v>
      </c>
      <c r="Y67" t="s">
        <v>330</v>
      </c>
      <c r="Z67" t="s">
        <v>330</v>
      </c>
      <c r="AA67" t="s">
        <v>330</v>
      </c>
      <c r="AB67">
        <v>-15.24348283666879</v>
      </c>
      <c r="AC67">
        <v>0</v>
      </c>
      <c r="AD67">
        <v>9305688.908412369</v>
      </c>
      <c r="AE67">
        <v>1.5752535371103653E-2</v>
      </c>
      <c r="AF67">
        <v>84.137274131557405</v>
      </c>
      <c r="AG67">
        <v>8.9196149525662882</v>
      </c>
      <c r="AH67">
        <v>95.536032081000002</v>
      </c>
      <c r="AI67">
        <v>11.705967919000003</v>
      </c>
      <c r="AJ67">
        <v>12.252935006841319</v>
      </c>
      <c r="AK67">
        <v>2.2779051943219306</v>
      </c>
      <c r="AL67">
        <v>-0.62402598452083768</v>
      </c>
      <c r="AM67">
        <v>-0.29917538991272452</v>
      </c>
      <c r="AN67">
        <v>1.8866269584303348</v>
      </c>
      <c r="AO67">
        <v>0.67058547804743007</v>
      </c>
      <c r="AP67">
        <v>-2.004607</v>
      </c>
      <c r="AQ67" t="s">
        <v>330</v>
      </c>
      <c r="AR67" t="s">
        <v>330</v>
      </c>
      <c r="AS67">
        <v>-2.004607</v>
      </c>
      <c r="AT67">
        <v>0</v>
      </c>
      <c r="AU67">
        <v>0</v>
      </c>
      <c r="AV67">
        <v>0</v>
      </c>
      <c r="AW67">
        <v>0</v>
      </c>
    </row>
    <row r="68" spans="2:49" ht="15" customHeight="1" x14ac:dyDescent="0.2">
      <c r="B68" t="s">
        <v>502</v>
      </c>
      <c r="C68" t="s">
        <v>503</v>
      </c>
      <c r="N68" t="s">
        <v>89</v>
      </c>
      <c r="O68">
        <v>96.686894420752111</v>
      </c>
      <c r="P68">
        <v>90.434809809056816</v>
      </c>
      <c r="Q68">
        <v>76.256695766521958</v>
      </c>
      <c r="R68" t="s">
        <v>1013</v>
      </c>
      <c r="S68">
        <v>-1.1289998511799168E-14</v>
      </c>
      <c r="T68">
        <v>-5.836145324224164E-15</v>
      </c>
      <c r="U68">
        <v>-3.8449743853731467E-14</v>
      </c>
      <c r="V68">
        <v>2.2737367544323207E-14</v>
      </c>
      <c r="W68">
        <v>1.4216899627172097E-2</v>
      </c>
      <c r="X68">
        <v>0</v>
      </c>
      <c r="Y68">
        <v>-1.630499503709552E-3</v>
      </c>
      <c r="Z68">
        <v>0</v>
      </c>
      <c r="AA68">
        <v>6.2330753073768048E-3</v>
      </c>
      <c r="AB68">
        <v>-1.4811785897432992</v>
      </c>
      <c r="AC68">
        <v>133.13401634793328</v>
      </c>
      <c r="AD68">
        <v>966.86894420752117</v>
      </c>
      <c r="AE68">
        <v>8.2583538445884827E-15</v>
      </c>
      <c r="AF68">
        <v>96.938068748448742</v>
      </c>
      <c r="AG68">
        <v>-0.25117432769663994</v>
      </c>
      <c r="AH68">
        <v>51.685496685028092</v>
      </c>
      <c r="AI68">
        <v>46.433503314971908</v>
      </c>
      <c r="AJ68">
        <v>89.838554900493889</v>
      </c>
      <c r="AK68">
        <v>0.40969181759468948</v>
      </c>
      <c r="AL68">
        <v>-0.40175774270085185</v>
      </c>
      <c r="AM68">
        <v>-0.48290044561258583</v>
      </c>
      <c r="AN68">
        <v>-0.32277070304250832</v>
      </c>
      <c r="AO68">
        <v>0.40945967926788068</v>
      </c>
      <c r="AP68">
        <v>4.8855433072806838</v>
      </c>
      <c r="AQ68" t="s">
        <v>330</v>
      </c>
      <c r="AR68" t="s">
        <v>330</v>
      </c>
      <c r="AS68">
        <v>4.8855430000000002</v>
      </c>
      <c r="AT68">
        <v>0.25479264974164023</v>
      </c>
      <c r="AU68">
        <v>185.73401325988766</v>
      </c>
      <c r="AV68">
        <v>185.73401325988766</v>
      </c>
      <c r="AW68">
        <v>2.0833333333333332E-2</v>
      </c>
    </row>
    <row r="69" spans="2:49" ht="15" customHeight="1" x14ac:dyDescent="0.2">
      <c r="B69" t="s">
        <v>504</v>
      </c>
      <c r="C69" t="s">
        <v>505</v>
      </c>
      <c r="N69" t="s">
        <v>89</v>
      </c>
      <c r="O69">
        <v>97.371269959541237</v>
      </c>
      <c r="P69">
        <v>194.36617409638347</v>
      </c>
      <c r="Q69">
        <v>39.795711008081661</v>
      </c>
      <c r="R69" t="s">
        <v>1013</v>
      </c>
      <c r="S69">
        <v>8.4903633751684929E-2</v>
      </c>
      <c r="T69">
        <v>6.3854657782670077E-2</v>
      </c>
      <c r="U69">
        <v>8.7248864660878916E-3</v>
      </c>
      <c r="V69">
        <v>6.8983726481565102E-2</v>
      </c>
      <c r="W69">
        <v>8.1419872774290518E-3</v>
      </c>
      <c r="X69">
        <v>0</v>
      </c>
      <c r="Y69">
        <v>-2.2532547762630299E-2</v>
      </c>
      <c r="Z69">
        <v>0</v>
      </c>
      <c r="AA69">
        <v>1.2084587966950389E-2</v>
      </c>
      <c r="AB69">
        <v>-0.88807513840383401</v>
      </c>
      <c r="AC69">
        <v>139.20991441023085</v>
      </c>
      <c r="AD69">
        <v>973.71269959541246</v>
      </c>
      <c r="AE69">
        <v>0.22198863776019048</v>
      </c>
      <c r="AF69">
        <v>97.120243983236051</v>
      </c>
      <c r="AG69">
        <v>0.25102597630519763</v>
      </c>
      <c r="AH69">
        <v>75.208392104186998</v>
      </c>
      <c r="AI69">
        <v>23.027607895813006</v>
      </c>
      <c r="AJ69">
        <v>30.618402084587331</v>
      </c>
      <c r="AK69">
        <v>0.37036854184041418</v>
      </c>
      <c r="AL69">
        <v>-0.34089323335484778</v>
      </c>
      <c r="AM69">
        <v>-0.42436062889873938</v>
      </c>
      <c r="AN69">
        <v>-2.6888855330210591E-2</v>
      </c>
      <c r="AO69">
        <v>0.34701457037628547</v>
      </c>
      <c r="AP69">
        <v>4.7884690000000001</v>
      </c>
      <c r="AQ69" t="s">
        <v>330</v>
      </c>
      <c r="AR69" t="s">
        <v>330</v>
      </c>
      <c r="AS69">
        <v>4.7884690000000001</v>
      </c>
      <c r="AT69">
        <v>0</v>
      </c>
      <c r="AU69">
        <v>0</v>
      </c>
      <c r="AV69">
        <v>0</v>
      </c>
      <c r="AW69">
        <v>0</v>
      </c>
    </row>
    <row r="70" spans="2:49" ht="15" customHeight="1" x14ac:dyDescent="0.2">
      <c r="B70" t="s">
        <v>506</v>
      </c>
      <c r="C70" t="s">
        <v>507</v>
      </c>
      <c r="N70" t="s">
        <v>89</v>
      </c>
      <c r="O70">
        <v>94.22642058873609</v>
      </c>
      <c r="P70">
        <v>105.97086703813108</v>
      </c>
      <c r="Q70">
        <v>43.757007225935325</v>
      </c>
      <c r="R70" t="s">
        <v>1013</v>
      </c>
      <c r="S70">
        <v>0.49970663808577442</v>
      </c>
      <c r="T70">
        <v>0.40662637817034941</v>
      </c>
      <c r="U70">
        <v>9.177929285194425E-3</v>
      </c>
      <c r="V70">
        <v>0.49917001543400374</v>
      </c>
      <c r="W70">
        <v>-5.6616960432620544E-4</v>
      </c>
      <c r="X70">
        <v>0</v>
      </c>
      <c r="Y70">
        <v>-0.79058293229511212</v>
      </c>
      <c r="Z70">
        <v>0</v>
      </c>
      <c r="AA70">
        <v>3.8920810036615801E-2</v>
      </c>
      <c r="AB70">
        <v>-7.1472304362041648</v>
      </c>
      <c r="AC70">
        <v>139.19768618422316</v>
      </c>
      <c r="AD70">
        <v>942.26420588736084</v>
      </c>
      <c r="AE70">
        <v>1.4130189659601575</v>
      </c>
      <c r="AF70">
        <v>84.233327572255249</v>
      </c>
      <c r="AG70">
        <v>9.9930930164808274</v>
      </c>
      <c r="AH70">
        <v>81.358877047481542</v>
      </c>
      <c r="AI70">
        <v>19.602122952518457</v>
      </c>
      <c r="AJ70">
        <v>24.093404019181015</v>
      </c>
      <c r="AK70">
        <v>2.3164149713971049</v>
      </c>
      <c r="AL70">
        <v>-1.4236467314411811</v>
      </c>
      <c r="AM70">
        <v>-2.416983408081478</v>
      </c>
      <c r="AN70">
        <v>8.6136178658427043E-2</v>
      </c>
      <c r="AO70">
        <v>1.4100957116522037</v>
      </c>
      <c r="AP70">
        <v>-0.40229500000000001</v>
      </c>
      <c r="AQ70" t="s">
        <v>330</v>
      </c>
      <c r="AR70" t="s">
        <v>330</v>
      </c>
      <c r="AS70">
        <v>-0.40229500000000001</v>
      </c>
      <c r="AT70">
        <v>0</v>
      </c>
      <c r="AU70">
        <v>0</v>
      </c>
      <c r="AV70">
        <v>0</v>
      </c>
      <c r="AW70">
        <v>0</v>
      </c>
    </row>
    <row r="71" spans="2:49" ht="15" customHeight="1" x14ac:dyDescent="0.2">
      <c r="B71" t="s">
        <v>508</v>
      </c>
      <c r="C71" t="s">
        <v>509</v>
      </c>
      <c r="N71" t="s">
        <v>89</v>
      </c>
      <c r="O71">
        <v>93.333145357752684</v>
      </c>
      <c r="P71">
        <v>161.96799017765792</v>
      </c>
      <c r="Q71">
        <v>116.00926919871317</v>
      </c>
      <c r="R71" t="s">
        <v>1013</v>
      </c>
      <c r="S71">
        <v>4.1214660681707711E-2</v>
      </c>
      <c r="T71">
        <v>9.824229932040884E-3</v>
      </c>
      <c r="U71">
        <v>1.3099705808932148E-3</v>
      </c>
      <c r="V71">
        <v>2.2983000074797019E-2</v>
      </c>
      <c r="W71">
        <v>8.8497295356792169E-3</v>
      </c>
      <c r="X71">
        <v>0</v>
      </c>
      <c r="Y71">
        <v>-1.1586699632321699E-2</v>
      </c>
      <c r="Z71">
        <v>0</v>
      </c>
      <c r="AA71">
        <v>3.4219252075947129E-2</v>
      </c>
      <c r="AB71">
        <v>-3.4841369909721949</v>
      </c>
      <c r="AC71">
        <v>171.50641489302762</v>
      </c>
      <c r="AD71">
        <v>93333.145357752685</v>
      </c>
      <c r="AE71">
        <v>4.2227704482071415E-2</v>
      </c>
      <c r="AF71">
        <v>93.823820338287732</v>
      </c>
      <c r="AG71">
        <v>-0.49067498053504099</v>
      </c>
      <c r="AH71">
        <v>23.867347175192265</v>
      </c>
      <c r="AI71">
        <v>72.717652824807729</v>
      </c>
      <c r="AJ71">
        <v>304.67421574355154</v>
      </c>
      <c r="AK71">
        <v>1.2467139154231943</v>
      </c>
      <c r="AL71">
        <v>-1.1773347418772027</v>
      </c>
      <c r="AM71">
        <v>-1.3994838955318847</v>
      </c>
      <c r="AN71">
        <v>1.9029420308454028E-2</v>
      </c>
      <c r="AO71">
        <v>1.2189623045785607</v>
      </c>
      <c r="AP71">
        <v>3.7864870000000002</v>
      </c>
      <c r="AQ71" t="s">
        <v>330</v>
      </c>
      <c r="AR71" t="s">
        <v>330</v>
      </c>
      <c r="AS71">
        <v>3.7864870000000002</v>
      </c>
      <c r="AT71">
        <v>1.0353574571620852</v>
      </c>
      <c r="AU71">
        <v>72.717652824807743</v>
      </c>
      <c r="AV71">
        <v>72.717652824807743</v>
      </c>
      <c r="AW71">
        <v>0.22826086956521738</v>
      </c>
    </row>
    <row r="72" spans="2:49" ht="15" customHeight="1" x14ac:dyDescent="0.2">
      <c r="B72" t="s">
        <v>510</v>
      </c>
      <c r="C72" t="s">
        <v>511</v>
      </c>
      <c r="N72" t="s">
        <v>89</v>
      </c>
      <c r="O72">
        <v>89.642055193621403</v>
      </c>
      <c r="P72">
        <v>224.66959522103855</v>
      </c>
      <c r="Q72">
        <v>130.54901720373533</v>
      </c>
      <c r="R72" t="s">
        <v>1013</v>
      </c>
      <c r="S72">
        <v>7.6255140227536447E-2</v>
      </c>
      <c r="T72">
        <v>1.1957175448179182E-2</v>
      </c>
      <c r="U72">
        <v>1.4970535106379763E-3</v>
      </c>
      <c r="V72">
        <v>3.2208357916846578E-2</v>
      </c>
      <c r="W72">
        <v>1.0527596230778726E-2</v>
      </c>
      <c r="X72">
        <v>0</v>
      </c>
      <c r="Y72">
        <v>-2.4800589499356797E-2</v>
      </c>
      <c r="Z72">
        <v>0</v>
      </c>
      <c r="AA72">
        <v>8.3671885292625703E-2</v>
      </c>
      <c r="AB72">
        <v>-4.4353565943917648</v>
      </c>
      <c r="AC72">
        <v>172.54962112433455</v>
      </c>
      <c r="AD72">
        <v>89642.055193621403</v>
      </c>
      <c r="AE72">
        <v>5.1313289997400632E-2</v>
      </c>
      <c r="AF72">
        <v>90.375404217427928</v>
      </c>
      <c r="AG72">
        <v>-0.73334902380651323</v>
      </c>
      <c r="AH72">
        <v>15.700621294299317</v>
      </c>
      <c r="AI72">
        <v>77.917378705700685</v>
      </c>
      <c r="AJ72">
        <v>496.26939753009287</v>
      </c>
      <c r="AK72">
        <v>2.1530320240092973</v>
      </c>
      <c r="AL72">
        <v>-2.4543710553189886</v>
      </c>
      <c r="AM72">
        <v>-2.3394374814850742</v>
      </c>
      <c r="AN72">
        <v>6.1118889247795183E-2</v>
      </c>
      <c r="AO72">
        <v>2.6216871278162199</v>
      </c>
      <c r="AP72">
        <v>4.5210150000000002</v>
      </c>
      <c r="AQ72" t="s">
        <v>330</v>
      </c>
      <c r="AR72" t="s">
        <v>330</v>
      </c>
      <c r="AS72">
        <v>4.5210150000000002</v>
      </c>
      <c r="AT72">
        <v>1.6022559764147923</v>
      </c>
      <c r="AU72">
        <v>51.94491913713378</v>
      </c>
      <c r="AV72">
        <v>51.94491913713378</v>
      </c>
      <c r="AW72">
        <v>0.375</v>
      </c>
    </row>
    <row r="73" spans="2:49" ht="15" customHeight="1" x14ac:dyDescent="0.2">
      <c r="B73" t="s">
        <v>512</v>
      </c>
      <c r="C73" t="s">
        <v>513</v>
      </c>
      <c r="N73" t="s">
        <v>89</v>
      </c>
      <c r="O73">
        <v>86.886757624935896</v>
      </c>
      <c r="P73">
        <v>266.83007089701869</v>
      </c>
      <c r="Q73">
        <v>137.65519020830482</v>
      </c>
      <c r="R73" t="s">
        <v>1013</v>
      </c>
      <c r="S73">
        <v>0.13715134373983939</v>
      </c>
      <c r="T73">
        <v>1.7495934355089719E-2</v>
      </c>
      <c r="U73">
        <v>1.7489463044537885E-3</v>
      </c>
      <c r="V73">
        <v>4.7440790167238449E-2</v>
      </c>
      <c r="W73">
        <v>1.116719990465208E-2</v>
      </c>
      <c r="X73">
        <v>0</v>
      </c>
      <c r="Y73">
        <v>-5.5707767278410571E-2</v>
      </c>
      <c r="Z73">
        <v>0</v>
      </c>
      <c r="AA73">
        <v>0.14768484184911901</v>
      </c>
      <c r="AB73">
        <v>-4.8859486659515463</v>
      </c>
      <c r="AC73">
        <v>173.13244516456135</v>
      </c>
      <c r="AD73">
        <v>86886.757624935897</v>
      </c>
      <c r="AE73">
        <v>7.5017106024325153E-2</v>
      </c>
      <c r="AF73">
        <v>87.651448196941587</v>
      </c>
      <c r="AG73">
        <v>-0.76469057200569657</v>
      </c>
      <c r="AH73">
        <v>12.773044766693115</v>
      </c>
      <c r="AI73">
        <v>78.358955233306887</v>
      </c>
      <c r="AJ73">
        <v>613.4712330895062</v>
      </c>
      <c r="AK73">
        <v>3.1444549493697673</v>
      </c>
      <c r="AL73">
        <v>-3.2556382040012251</v>
      </c>
      <c r="AM73">
        <v>-3.3233396105044815</v>
      </c>
      <c r="AN73">
        <v>-0.42952326265587437</v>
      </c>
      <c r="AO73">
        <v>3.5724423956472204</v>
      </c>
      <c r="AP73">
        <v>4.9943288037838718</v>
      </c>
      <c r="AQ73" t="s">
        <v>330</v>
      </c>
      <c r="AR73" t="s">
        <v>330</v>
      </c>
      <c r="AS73">
        <v>4.9943288037838718</v>
      </c>
      <c r="AT73">
        <v>2.3317824693850677</v>
      </c>
      <c r="AU73">
        <v>36.874802462732653</v>
      </c>
      <c r="AV73">
        <v>36.874802462732653</v>
      </c>
      <c r="AW73">
        <v>0.20545580110497239</v>
      </c>
    </row>
    <row r="74" spans="2:49" ht="15" customHeight="1" x14ac:dyDescent="0.2">
      <c r="B74" t="s">
        <v>514</v>
      </c>
      <c r="C74" t="s">
        <v>515</v>
      </c>
      <c r="N74" t="s">
        <v>89</v>
      </c>
      <c r="O74">
        <v>98.452197636827719</v>
      </c>
      <c r="P74">
        <v>418.93021643720664</v>
      </c>
      <c r="Q74">
        <v>55.200954989512887</v>
      </c>
      <c r="R74" t="s">
        <v>1013</v>
      </c>
      <c r="S74">
        <v>0.4164021065039174</v>
      </c>
      <c r="T74">
        <v>0.16843555762918738</v>
      </c>
      <c r="U74">
        <v>3.9635961763979013E-3</v>
      </c>
      <c r="V74">
        <v>0.29494960594034636</v>
      </c>
      <c r="W74">
        <v>7.8152780185628216E-3</v>
      </c>
      <c r="X74">
        <v>0</v>
      </c>
      <c r="Y74">
        <v>-0.5270023336172609</v>
      </c>
      <c r="Z74">
        <v>0</v>
      </c>
      <c r="AA74">
        <v>0.19233692077859588</v>
      </c>
      <c r="AB74">
        <v>0.57916191869183464</v>
      </c>
      <c r="AC74">
        <v>170.06906922337811</v>
      </c>
      <c r="AD74">
        <v>98452.19763682771</v>
      </c>
      <c r="AE74">
        <v>0.72157854096480378</v>
      </c>
      <c r="AF74">
        <v>92.454435343359734</v>
      </c>
      <c r="AG74">
        <v>5.9977622934679822</v>
      </c>
      <c r="AH74">
        <v>40.484846994182</v>
      </c>
      <c r="AI74">
        <v>57.397153005818005</v>
      </c>
      <c r="AJ74">
        <v>141.77441009982437</v>
      </c>
      <c r="AK74">
        <v>3.6644853398456556</v>
      </c>
      <c r="AL74">
        <v>-2.6533401398309797</v>
      </c>
      <c r="AM74">
        <v>-2.9874848735691923</v>
      </c>
      <c r="AN74">
        <v>0.18675824988596754</v>
      </c>
      <c r="AO74">
        <v>2.710753907593817</v>
      </c>
      <c r="AP74">
        <v>3.7823627728635949</v>
      </c>
      <c r="AQ74" t="s">
        <v>330</v>
      </c>
      <c r="AR74">
        <v>4.0442742647639651</v>
      </c>
      <c r="AS74">
        <v>4.0442742647639651</v>
      </c>
      <c r="AT74">
        <v>3.3203244723238186</v>
      </c>
      <c r="AU74">
        <v>17.660662463328617</v>
      </c>
      <c r="AV74">
        <v>17.660662463328617</v>
      </c>
      <c r="AW74">
        <v>0.48573369565217389</v>
      </c>
    </row>
    <row r="75" spans="2:49" ht="15" customHeight="1" x14ac:dyDescent="0.2">
      <c r="B75" t="s">
        <v>516</v>
      </c>
      <c r="C75" t="s">
        <v>517</v>
      </c>
      <c r="N75" t="s">
        <v>89</v>
      </c>
      <c r="O75">
        <v>102.97775875145943</v>
      </c>
      <c r="P75" t="s">
        <v>330</v>
      </c>
      <c r="Q75">
        <v>24.922876601082887</v>
      </c>
      <c r="R75" t="s">
        <v>1013</v>
      </c>
      <c r="S75" t="s">
        <v>330</v>
      </c>
      <c r="T75" t="s">
        <v>330</v>
      </c>
      <c r="U75" t="s">
        <v>330</v>
      </c>
      <c r="V75" t="s">
        <v>330</v>
      </c>
      <c r="W75" t="s">
        <v>330</v>
      </c>
      <c r="X75" t="s">
        <v>330</v>
      </c>
      <c r="Y75" t="s">
        <v>330</v>
      </c>
      <c r="Z75" t="s">
        <v>330</v>
      </c>
      <c r="AA75" t="s">
        <v>330</v>
      </c>
      <c r="AB75">
        <v>-2.0356252398150692</v>
      </c>
      <c r="AC75">
        <v>0</v>
      </c>
      <c r="AD75">
        <v>102977.75875145943</v>
      </c>
      <c r="AE75">
        <v>0.36733235199578185</v>
      </c>
      <c r="AF75">
        <v>92.278235099302307</v>
      </c>
      <c r="AG75">
        <v>10.699523652157106</v>
      </c>
      <c r="AH75">
        <v>92.601056750000026</v>
      </c>
      <c r="AI75">
        <v>12.472943249999972</v>
      </c>
      <c r="AJ75">
        <v>13.469547419608652</v>
      </c>
      <c r="AK75">
        <v>4.2804345038141571</v>
      </c>
      <c r="AL75">
        <v>-2.9161920986211771</v>
      </c>
      <c r="AM75">
        <v>-4.3234625831095039</v>
      </c>
      <c r="AN75">
        <v>0.3215122459153183</v>
      </c>
      <c r="AO75">
        <v>2.8318659621049953</v>
      </c>
      <c r="AP75">
        <v>-0.45703100549241044</v>
      </c>
      <c r="AQ75" t="s">
        <v>330</v>
      </c>
      <c r="AR75" t="s">
        <v>330</v>
      </c>
      <c r="AS75">
        <v>-0.45703100549241044</v>
      </c>
      <c r="AT75">
        <v>0.66619715628985288</v>
      </c>
      <c r="AU75">
        <v>0</v>
      </c>
      <c r="AV75">
        <v>0</v>
      </c>
      <c r="AW75">
        <v>0.11032608695652174</v>
      </c>
    </row>
    <row r="76" spans="2:49" ht="15" customHeight="1" x14ac:dyDescent="0.2">
      <c r="B76" t="s">
        <v>518</v>
      </c>
      <c r="C76" t="s">
        <v>519</v>
      </c>
      <c r="N76" t="s">
        <v>89</v>
      </c>
      <c r="O76">
        <v>84.669787664163707</v>
      </c>
      <c r="P76">
        <v>110.01609083680934</v>
      </c>
      <c r="Q76">
        <v>84.696334344538855</v>
      </c>
      <c r="R76" t="s">
        <v>1013</v>
      </c>
      <c r="S76">
        <v>1.5896292365226272E-2</v>
      </c>
      <c r="T76">
        <v>5.5993587149673636E-3</v>
      </c>
      <c r="U76">
        <v>9.6731344123528835E-4</v>
      </c>
      <c r="V76">
        <v>2.1330725746403913E-2</v>
      </c>
      <c r="W76">
        <v>8.0615598349977509E-3</v>
      </c>
      <c r="X76">
        <v>-8.2219218635865513E-3</v>
      </c>
      <c r="Y76">
        <v>-1.3129295619731121E-2</v>
      </c>
      <c r="Z76">
        <v>0</v>
      </c>
      <c r="AA76">
        <v>4.8347684266470556E-2</v>
      </c>
      <c r="AB76">
        <v>-8.5570219740881903</v>
      </c>
      <c r="AC76">
        <v>138.17604854206346</v>
      </c>
      <c r="AD76">
        <v>84669.787664163712</v>
      </c>
      <c r="AE76">
        <v>7.5121817456260806E-3</v>
      </c>
      <c r="AF76">
        <v>85.654030897443505</v>
      </c>
      <c r="AG76">
        <v>-0.98424323327979069</v>
      </c>
      <c r="AH76">
        <v>35.205342591292535</v>
      </c>
      <c r="AI76">
        <v>56.709657408707471</v>
      </c>
      <c r="AJ76">
        <v>161.08253246407457</v>
      </c>
      <c r="AK76">
        <v>2.4907957212994631</v>
      </c>
      <c r="AL76">
        <v>-2.7590261803499017</v>
      </c>
      <c r="AM76">
        <v>-2.6502288783354744</v>
      </c>
      <c r="AN76">
        <v>0.12108678723502705</v>
      </c>
      <c r="AO76">
        <v>3.0017148238588929</v>
      </c>
      <c r="AP76">
        <v>3.364130830653389</v>
      </c>
      <c r="AQ76" t="s">
        <v>330</v>
      </c>
      <c r="AR76" t="s">
        <v>330</v>
      </c>
      <c r="AS76">
        <v>3.364130830653389</v>
      </c>
      <c r="AT76">
        <v>0</v>
      </c>
      <c r="AU76">
        <v>0</v>
      </c>
      <c r="AV76">
        <v>0</v>
      </c>
      <c r="AW76">
        <v>0</v>
      </c>
    </row>
    <row r="77" spans="2:49" ht="15" customHeight="1" x14ac:dyDescent="0.2">
      <c r="B77" t="s">
        <v>520</v>
      </c>
      <c r="C77" t="s">
        <v>521</v>
      </c>
      <c r="N77" t="s">
        <v>89</v>
      </c>
      <c r="O77">
        <v>84.971910805953243</v>
      </c>
      <c r="P77">
        <v>178.11776805249838</v>
      </c>
      <c r="Q77">
        <v>74.726195422781572</v>
      </c>
      <c r="R77" t="s">
        <v>1013</v>
      </c>
      <c r="S77">
        <v>0.18223394625341086</v>
      </c>
      <c r="T77">
        <v>6.8177065370148365E-2</v>
      </c>
      <c r="U77">
        <v>3.8437397799326719E-3</v>
      </c>
      <c r="V77">
        <v>0.1464855611556061</v>
      </c>
      <c r="W77">
        <v>9.9470054685980355E-3</v>
      </c>
      <c r="X77">
        <v>0</v>
      </c>
      <c r="Y77">
        <v>-0.15543558342003239</v>
      </c>
      <c r="Z77">
        <v>0</v>
      </c>
      <c r="AA77">
        <v>7.3098495751432915E-2</v>
      </c>
      <c r="AB77">
        <v>-5.9338305402607201</v>
      </c>
      <c r="AC77">
        <v>143.91457790093014</v>
      </c>
      <c r="AD77">
        <v>849.71910805953246</v>
      </c>
      <c r="AE77">
        <v>0.19212692835130679</v>
      </c>
      <c r="AF77">
        <v>84.004016017875188</v>
      </c>
      <c r="AG77">
        <v>0.9678947880780584</v>
      </c>
      <c r="AH77">
        <v>37.411836143493652</v>
      </c>
      <c r="AI77">
        <v>52.602163856506344</v>
      </c>
      <c r="AJ77">
        <v>140.60299968905554</v>
      </c>
      <c r="AK77">
        <v>2.3128596365833416</v>
      </c>
      <c r="AL77">
        <v>-1.9421920431864237</v>
      </c>
      <c r="AM77">
        <v>-2.3661321847397403</v>
      </c>
      <c r="AN77">
        <v>8.1588981998501467E-2</v>
      </c>
      <c r="AO77">
        <v>2.1576555237923252</v>
      </c>
      <c r="AP77">
        <v>4.4061529413665479</v>
      </c>
      <c r="AQ77" t="s">
        <v>330</v>
      </c>
      <c r="AR77" t="s">
        <v>330</v>
      </c>
      <c r="AS77">
        <v>4.4061529999999998</v>
      </c>
      <c r="AT77">
        <v>0</v>
      </c>
      <c r="AU77">
        <v>0</v>
      </c>
      <c r="AV77">
        <v>0</v>
      </c>
      <c r="AW77">
        <v>0</v>
      </c>
    </row>
    <row r="78" spans="2:49" ht="15" customHeight="1" x14ac:dyDescent="0.2">
      <c r="B78" t="s">
        <v>522</v>
      </c>
      <c r="C78" t="s">
        <v>523</v>
      </c>
      <c r="N78" t="s">
        <v>89</v>
      </c>
      <c r="O78">
        <v>99.526985970405619</v>
      </c>
      <c r="P78">
        <v>82.408161406689757</v>
      </c>
      <c r="Q78">
        <v>60.614077512462906</v>
      </c>
      <c r="R78" t="s">
        <v>1013</v>
      </c>
      <c r="S78">
        <v>1.566976018160747E-6</v>
      </c>
      <c r="T78">
        <v>7.8771175381253886E-7</v>
      </c>
      <c r="U78">
        <v>5.0565899497541169E-7</v>
      </c>
      <c r="V78">
        <v>2.6677331115934065E-6</v>
      </c>
      <c r="W78">
        <v>2.5217318206414347E-3</v>
      </c>
      <c r="X78">
        <v>0</v>
      </c>
      <c r="Y78">
        <v>-1.9299719404841185E-3</v>
      </c>
      <c r="Z78">
        <v>0</v>
      </c>
      <c r="AA78">
        <v>6.156691814147108E-3</v>
      </c>
      <c r="AB78">
        <v>-0.41095791820320415</v>
      </c>
      <c r="AC78">
        <v>136.87620050683597</v>
      </c>
      <c r="AD78">
        <v>199053.97194081123</v>
      </c>
      <c r="AE78">
        <v>1.8773599959444069E-6</v>
      </c>
      <c r="AF78">
        <v>99.646626585994497</v>
      </c>
      <c r="AG78">
        <v>-0.11964061558886896</v>
      </c>
      <c r="AH78">
        <v>50.269547503166201</v>
      </c>
      <c r="AI78">
        <v>49.666452496833806</v>
      </c>
      <c r="AJ78">
        <v>98.800277630717858</v>
      </c>
      <c r="AK78">
        <v>0.44792785105540206</v>
      </c>
      <c r="AL78">
        <v>-0.45452146805422672</v>
      </c>
      <c r="AM78">
        <v>-0.54442159366706622</v>
      </c>
      <c r="AN78">
        <v>-0.38211760859030713</v>
      </c>
      <c r="AO78">
        <v>0.4548125480850011</v>
      </c>
      <c r="AP78">
        <v>0.89160454355021768</v>
      </c>
      <c r="AQ78" t="s">
        <v>330</v>
      </c>
      <c r="AR78" t="s">
        <v>330</v>
      </c>
      <c r="AS78">
        <v>0.89160454355021768</v>
      </c>
      <c r="AT78">
        <v>0.75048030739673388</v>
      </c>
      <c r="AU78">
        <v>0</v>
      </c>
      <c r="AV78">
        <v>0</v>
      </c>
      <c r="AW78">
        <v>3.1249999999999997E-2</v>
      </c>
    </row>
    <row r="79" spans="2:49" ht="15" customHeight="1" x14ac:dyDescent="0.2">
      <c r="B79" t="s">
        <v>524</v>
      </c>
      <c r="C79" t="s">
        <v>525</v>
      </c>
      <c r="N79" t="s">
        <v>89</v>
      </c>
      <c r="O79">
        <v>110.66973185690391</v>
      </c>
      <c r="P79">
        <v>68.815034505915719</v>
      </c>
      <c r="Q79">
        <v>17.913539707577193</v>
      </c>
      <c r="R79" t="s">
        <v>1013</v>
      </c>
      <c r="S79">
        <v>0.79436617911405727</v>
      </c>
      <c r="T79">
        <v>0.86050681324409795</v>
      </c>
      <c r="U79">
        <v>2.4742073218833406E-2</v>
      </c>
      <c r="V79">
        <v>0.22786132455080405</v>
      </c>
      <c r="W79">
        <v>-7.1187637485309093E-3</v>
      </c>
      <c r="X79">
        <v>0.41202446522397229</v>
      </c>
      <c r="Y79">
        <v>-0.29341106672894018</v>
      </c>
      <c r="Z79">
        <v>0</v>
      </c>
      <c r="AA79">
        <v>4.3990761464608851E-3</v>
      </c>
      <c r="AB79">
        <v>0.12897099731702066</v>
      </c>
      <c r="AC79">
        <v>0</v>
      </c>
      <c r="AD79">
        <v>1106.697318569039</v>
      </c>
      <c r="AE79">
        <v>0.66929666136959365</v>
      </c>
      <c r="AF79">
        <v>99.949194491661189</v>
      </c>
      <c r="AG79">
        <v>10.720537365242729</v>
      </c>
      <c r="AH79">
        <v>108.32200881591797</v>
      </c>
      <c r="AI79">
        <v>2.2007852304076891</v>
      </c>
      <c r="AJ79">
        <v>2.0316275567171949</v>
      </c>
      <c r="AK79">
        <v>0.41874338519693832</v>
      </c>
      <c r="AL79">
        <v>-0.13579530342849466</v>
      </c>
      <c r="AM79">
        <v>-0.59243993310724363</v>
      </c>
      <c r="AN79">
        <v>-0.56275945001211858</v>
      </c>
      <c r="AO79">
        <v>0.12286165681552441</v>
      </c>
      <c r="AP79">
        <v>-15.421438</v>
      </c>
      <c r="AQ79" t="s">
        <v>330</v>
      </c>
      <c r="AR79" t="s">
        <v>330</v>
      </c>
      <c r="AS79">
        <v>-15.421438</v>
      </c>
      <c r="AT79">
        <v>3.7321197535443829</v>
      </c>
      <c r="AU79">
        <v>0</v>
      </c>
      <c r="AV79">
        <v>5.5960531267927287</v>
      </c>
      <c r="AW79">
        <v>0</v>
      </c>
    </row>
    <row r="80" spans="2:49" ht="15" customHeight="1" x14ac:dyDescent="0.2">
      <c r="B80" t="s">
        <v>526</v>
      </c>
      <c r="C80" t="s">
        <v>527</v>
      </c>
      <c r="N80" t="s">
        <v>89</v>
      </c>
      <c r="O80">
        <v>99.300495882961997</v>
      </c>
      <c r="P80">
        <v>137.49571918705266</v>
      </c>
      <c r="Q80">
        <v>148.5835493005697</v>
      </c>
      <c r="R80" t="s">
        <v>1013</v>
      </c>
      <c r="S80">
        <v>4.2856530365279457E-11</v>
      </c>
      <c r="T80">
        <v>1.8712339116327853E-11</v>
      </c>
      <c r="U80">
        <v>2.051407584405854E-11</v>
      </c>
      <c r="V80">
        <v>3.6857272789347916E-11</v>
      </c>
      <c r="W80">
        <v>1.5947698424747615E-2</v>
      </c>
      <c r="X80">
        <v>0</v>
      </c>
      <c r="Y80">
        <v>-5.929493381061416E-5</v>
      </c>
      <c r="Z80">
        <v>0</v>
      </c>
      <c r="AA80">
        <v>1.8824546774313376E-3</v>
      </c>
      <c r="AB80">
        <v>-0.25126170299500467</v>
      </c>
      <c r="AC80">
        <v>0</v>
      </c>
      <c r="AD80">
        <v>993.00495882962002</v>
      </c>
      <c r="AE80">
        <v>2.7778757992665493E-11</v>
      </c>
      <c r="AF80">
        <v>99.354254469456023</v>
      </c>
      <c r="AG80">
        <v>-5.3758586494029717E-2</v>
      </c>
      <c r="AH80">
        <v>43.639429170227046</v>
      </c>
      <c r="AI80">
        <v>55.910570829772951</v>
      </c>
      <c r="AJ80">
        <v>128.11939086480507</v>
      </c>
      <c r="AK80">
        <v>8.2114612822028643E-2</v>
      </c>
      <c r="AL80">
        <v>-8.2596416667684025E-2</v>
      </c>
      <c r="AM80">
        <v>-9.5788117303186482E-2</v>
      </c>
      <c r="AN80">
        <v>-1.1729450360134274E-2</v>
      </c>
      <c r="AO80">
        <v>8.2969780680747396E-2</v>
      </c>
      <c r="AP80">
        <v>5.85642</v>
      </c>
      <c r="AQ80" t="s">
        <v>330</v>
      </c>
      <c r="AR80" t="s">
        <v>330</v>
      </c>
      <c r="AS80">
        <v>5.85642</v>
      </c>
      <c r="AT80">
        <v>0.25113008538422904</v>
      </c>
      <c r="AU80">
        <v>223.64228331909175</v>
      </c>
      <c r="AV80">
        <v>223.64228331909175</v>
      </c>
      <c r="AW80">
        <v>0.10416666666666667</v>
      </c>
    </row>
    <row r="81" spans="2:49" ht="15" customHeight="1" x14ac:dyDescent="0.2">
      <c r="B81" t="s">
        <v>528</v>
      </c>
      <c r="C81" t="s">
        <v>529</v>
      </c>
      <c r="N81" t="s">
        <v>89</v>
      </c>
      <c r="O81">
        <v>85.096705221382607</v>
      </c>
      <c r="P81">
        <v>145.53943507313787</v>
      </c>
      <c r="Q81">
        <v>74.311724225860161</v>
      </c>
      <c r="R81" t="s">
        <v>1013</v>
      </c>
      <c r="S81">
        <v>0.19601158783363185</v>
      </c>
      <c r="T81">
        <v>7.9121931888409075E-2</v>
      </c>
      <c r="U81">
        <v>4.1110369384170908E-3</v>
      </c>
      <c r="V81">
        <v>0.16848397191317871</v>
      </c>
      <c r="W81">
        <v>9.1808620407050519E-3</v>
      </c>
      <c r="X81">
        <v>0</v>
      </c>
      <c r="Y81">
        <v>-0.18060995755954629</v>
      </c>
      <c r="Z81">
        <v>0</v>
      </c>
      <c r="AA81">
        <v>6.294268331969223E-2</v>
      </c>
      <c r="AB81">
        <v>-7.2603219625769402</v>
      </c>
      <c r="AC81">
        <v>143.00855776475427</v>
      </c>
      <c r="AD81">
        <v>850.96705221382615</v>
      </c>
      <c r="AE81">
        <v>0.12047074358311566</v>
      </c>
      <c r="AF81">
        <v>83.878517300555529</v>
      </c>
      <c r="AG81">
        <v>1.2181879208270745</v>
      </c>
      <c r="AH81">
        <v>40.332081858901994</v>
      </c>
      <c r="AI81">
        <v>50.942918141098012</v>
      </c>
      <c r="AJ81">
        <v>126.30867486413678</v>
      </c>
      <c r="AK81">
        <v>2.4754669156140063</v>
      </c>
      <c r="AL81">
        <v>-2.0732112030788699</v>
      </c>
      <c r="AM81">
        <v>-2.552657042687315</v>
      </c>
      <c r="AN81">
        <v>0.11493912830901944</v>
      </c>
      <c r="AO81">
        <v>2.2713899787223988</v>
      </c>
      <c r="AP81">
        <v>3.965265</v>
      </c>
      <c r="AQ81" t="s">
        <v>330</v>
      </c>
      <c r="AR81" t="s">
        <v>330</v>
      </c>
      <c r="AS81">
        <v>3.965265</v>
      </c>
      <c r="AT81">
        <v>0.41084634346754306</v>
      </c>
      <c r="AU81">
        <v>135.84778170959473</v>
      </c>
      <c r="AV81">
        <v>135.84778170959473</v>
      </c>
      <c r="AW81">
        <v>0.15625</v>
      </c>
    </row>
    <row r="82" spans="2:49" ht="15" customHeight="1" x14ac:dyDescent="0.2">
      <c r="B82" t="s">
        <v>530</v>
      </c>
      <c r="C82" t="s">
        <v>531</v>
      </c>
      <c r="N82" t="s">
        <v>89</v>
      </c>
      <c r="O82">
        <v>109.33975310257681</v>
      </c>
      <c r="P82">
        <v>38.416416727888993</v>
      </c>
      <c r="Q82">
        <v>17.876514380643652</v>
      </c>
      <c r="R82" t="s">
        <v>1013</v>
      </c>
      <c r="S82">
        <v>0.45274656316588802</v>
      </c>
      <c r="T82">
        <v>0.40953578844246857</v>
      </c>
      <c r="U82">
        <v>1.638609019309676E-2</v>
      </c>
      <c r="V82">
        <v>0.51087247046030826</v>
      </c>
      <c r="W82">
        <v>1.3383573535247705E-3</v>
      </c>
      <c r="X82">
        <v>1.8879057795939203E-4</v>
      </c>
      <c r="Y82">
        <v>-0.72054441124265656</v>
      </c>
      <c r="Z82">
        <v>0</v>
      </c>
      <c r="AA82">
        <v>1.2129088559240218E-2</v>
      </c>
      <c r="AB82">
        <v>-0.21789595335897552</v>
      </c>
      <c r="AC82">
        <v>0</v>
      </c>
      <c r="AD82">
        <v>109339.75310257681</v>
      </c>
      <c r="AE82">
        <v>5.587109888279147</v>
      </c>
      <c r="AF82">
        <v>102.97344674439965</v>
      </c>
      <c r="AG82">
        <v>6.3663063581771571</v>
      </c>
      <c r="AH82">
        <v>90.455858036500004</v>
      </c>
      <c r="AI82">
        <v>19.122142905005347</v>
      </c>
      <c r="AJ82">
        <v>21.139750944953974</v>
      </c>
      <c r="AK82">
        <v>2.0900395182672842</v>
      </c>
      <c r="AL82">
        <v>-1.3804429749793781</v>
      </c>
      <c r="AM82">
        <v>-2.2789391993425672</v>
      </c>
      <c r="AN82">
        <v>1.2712029519258698E-2</v>
      </c>
      <c r="AO82">
        <v>1.2597811376182975</v>
      </c>
      <c r="AP82">
        <v>0.85689300000000002</v>
      </c>
      <c r="AQ82" t="s">
        <v>330</v>
      </c>
      <c r="AR82" t="s">
        <v>330</v>
      </c>
      <c r="AS82">
        <v>0.85689300000000002</v>
      </c>
      <c r="AT82">
        <v>3.1940718027341255</v>
      </c>
      <c r="AU82">
        <v>0</v>
      </c>
      <c r="AV82">
        <v>0</v>
      </c>
      <c r="AW82">
        <v>0.49583333333333335</v>
      </c>
    </row>
    <row r="83" spans="2:49" ht="15" customHeight="1" x14ac:dyDescent="0.2">
      <c r="B83" t="s">
        <v>532</v>
      </c>
      <c r="C83" t="s">
        <v>533</v>
      </c>
      <c r="N83" t="s">
        <v>89</v>
      </c>
      <c r="O83">
        <v>55.117258324155401</v>
      </c>
      <c r="P83">
        <v>122.7485956390869</v>
      </c>
      <c r="Q83">
        <v>95.67768250572577</v>
      </c>
      <c r="R83" t="s">
        <v>1013</v>
      </c>
      <c r="S83">
        <v>0.12156654040824387</v>
      </c>
      <c r="T83">
        <v>2.535424656786258E-2</v>
      </c>
      <c r="U83">
        <v>2.7521668894019968E-3</v>
      </c>
      <c r="V83">
        <v>6.3264014210819397E-2</v>
      </c>
      <c r="W83">
        <v>3.7807791315103145E-3</v>
      </c>
      <c r="X83">
        <v>-7.4849588202725702E-3</v>
      </c>
      <c r="Y83">
        <v>-9.0117557316960417E-2</v>
      </c>
      <c r="Z83">
        <v>0</v>
      </c>
      <c r="AA83">
        <v>5.5607098189558064E-2</v>
      </c>
      <c r="AB83">
        <v>-8.3780322466091377</v>
      </c>
      <c r="AC83">
        <v>150.58522627513074</v>
      </c>
      <c r="AD83">
        <v>55.117258324155401</v>
      </c>
      <c r="AE83">
        <v>0.12543797062719714</v>
      </c>
      <c r="AF83">
        <v>55.119687338115646</v>
      </c>
      <c r="AG83">
        <v>-2.4290139602456406E-3</v>
      </c>
      <c r="AH83">
        <v>20.84594031524658</v>
      </c>
      <c r="AI83">
        <v>38.88905968475342</v>
      </c>
      <c r="AJ83">
        <v>186.55459574692452</v>
      </c>
      <c r="AK83">
        <v>2.5743249044448397</v>
      </c>
      <c r="AL83">
        <v>-1.7853569849299689</v>
      </c>
      <c r="AM83">
        <v>-1.7661375326672868</v>
      </c>
      <c r="AN83">
        <v>0.13427413761050039</v>
      </c>
      <c r="AO83">
        <v>2.9887954882898953</v>
      </c>
      <c r="AP83">
        <v>3.1039086792228776</v>
      </c>
      <c r="AQ83" t="s">
        <v>330</v>
      </c>
      <c r="AR83" t="s">
        <v>330</v>
      </c>
      <c r="AS83">
        <v>3.1039086792228776</v>
      </c>
      <c r="AT83">
        <v>0</v>
      </c>
      <c r="AU83">
        <v>0</v>
      </c>
      <c r="AV83">
        <v>0</v>
      </c>
      <c r="AW83">
        <v>0</v>
      </c>
    </row>
    <row r="84" spans="2:49" ht="15" customHeight="1" x14ac:dyDescent="0.2">
      <c r="B84" t="s">
        <v>534</v>
      </c>
      <c r="C84" t="s">
        <v>535</v>
      </c>
      <c r="N84" t="s">
        <v>89</v>
      </c>
      <c r="O84">
        <v>155.80923162988444</v>
      </c>
      <c r="P84">
        <v>49.555853023201777</v>
      </c>
      <c r="Q84">
        <v>33.043267028081736</v>
      </c>
      <c r="R84" t="s">
        <v>1013</v>
      </c>
      <c r="S84">
        <v>0.85809676240119748</v>
      </c>
      <c r="T84">
        <v>1.2942593997159533</v>
      </c>
      <c r="U84">
        <v>6.207296119520307E-3</v>
      </c>
      <c r="V84">
        <v>0.45566606599172521</v>
      </c>
      <c r="W84">
        <v>1.863448728050571E-3</v>
      </c>
      <c r="X84">
        <v>0.15572206306539893</v>
      </c>
      <c r="Y84">
        <v>-0.90289388578483987</v>
      </c>
      <c r="Z84">
        <v>0</v>
      </c>
      <c r="AA84">
        <v>7.9096255154010274E-3</v>
      </c>
      <c r="AB84">
        <v>-0.8585937791499697</v>
      </c>
      <c r="AC84">
        <v>138.54940407496258</v>
      </c>
      <c r="AD84">
        <v>155809.23162988442</v>
      </c>
      <c r="AE84">
        <v>5.2740804866760573</v>
      </c>
      <c r="AF84">
        <v>98.659981093721711</v>
      </c>
      <c r="AG84">
        <v>57.149250536162747</v>
      </c>
      <c r="AH84">
        <v>150.82907387906343</v>
      </c>
      <c r="AI84">
        <v>6.317926120936562</v>
      </c>
      <c r="AJ84">
        <v>4.1887985906499381</v>
      </c>
      <c r="AK84">
        <v>1.6688783621554375</v>
      </c>
      <c r="AL84">
        <v>-0.7498492459837871</v>
      </c>
      <c r="AM84">
        <v>-3.0832278877697537</v>
      </c>
      <c r="AN84">
        <v>1.2396216682851249</v>
      </c>
      <c r="AO84">
        <v>0.47716421311497331</v>
      </c>
      <c r="AP84">
        <v>-9.1561494979546385</v>
      </c>
      <c r="AQ84" t="s">
        <v>330</v>
      </c>
      <c r="AR84">
        <v>-19.256259105527615</v>
      </c>
      <c r="AS84">
        <v>-9.1561494979546385</v>
      </c>
      <c r="AT84">
        <v>1.4317804348794441</v>
      </c>
      <c r="AU84">
        <v>0</v>
      </c>
      <c r="AV84">
        <v>0</v>
      </c>
      <c r="AW84">
        <v>0.14178082191780822</v>
      </c>
    </row>
    <row r="85" spans="2:49" ht="15" customHeight="1" x14ac:dyDescent="0.2">
      <c r="B85" t="s">
        <v>299</v>
      </c>
      <c r="C85" t="s">
        <v>338</v>
      </c>
      <c r="N85" t="s">
        <v>89</v>
      </c>
      <c r="O85">
        <v>103.04339541930393</v>
      </c>
      <c r="P85">
        <v>30.14271348410097</v>
      </c>
      <c r="Q85">
        <v>17.640567627069061</v>
      </c>
      <c r="R85" t="s">
        <v>1013</v>
      </c>
      <c r="S85">
        <v>0.23871143378537055</v>
      </c>
      <c r="T85">
        <v>0.20039394886460996</v>
      </c>
      <c r="U85">
        <v>1.2524110814992473E-2</v>
      </c>
      <c r="V85">
        <v>0.47149152554797913</v>
      </c>
      <c r="W85">
        <v>2.3162629235303029E-3</v>
      </c>
      <c r="X85">
        <v>-0.32737851993899769</v>
      </c>
      <c r="Y85">
        <v>-0.48032205816087392</v>
      </c>
      <c r="Z85">
        <v>0</v>
      </c>
      <c r="AA85">
        <v>2.0952979817025569E-2</v>
      </c>
      <c r="AB85">
        <v>-1.1214737014377936</v>
      </c>
      <c r="AC85">
        <v>157.87389721939894</v>
      </c>
      <c r="AD85">
        <v>103043.39541930394</v>
      </c>
      <c r="AE85">
        <v>1.3590104454572787</v>
      </c>
      <c r="AF85">
        <v>100.7334886644319</v>
      </c>
      <c r="AG85">
        <v>2.309906754872034</v>
      </c>
      <c r="AH85">
        <v>83.936804405039211</v>
      </c>
      <c r="AI85">
        <v>20.272595369996836</v>
      </c>
      <c r="AJ85">
        <v>24.155493154154449</v>
      </c>
      <c r="AK85">
        <v>4.235703056042829</v>
      </c>
      <c r="AL85">
        <v>-4.3171067304752064</v>
      </c>
      <c r="AM85">
        <v>-5.2819069828445206</v>
      </c>
      <c r="AN85">
        <v>4.3068985179366848E-3</v>
      </c>
      <c r="AO85">
        <v>4.1431364317077968</v>
      </c>
      <c r="AP85">
        <v>2.041925</v>
      </c>
      <c r="AQ85" t="s">
        <v>330</v>
      </c>
      <c r="AR85" t="s">
        <v>330</v>
      </c>
      <c r="AS85">
        <v>2.041925</v>
      </c>
      <c r="AT85">
        <v>2.8311212199733204</v>
      </c>
      <c r="AU85">
        <v>0</v>
      </c>
      <c r="AV85">
        <v>0</v>
      </c>
      <c r="AW85">
        <v>0.25054794520547941</v>
      </c>
    </row>
    <row r="86" spans="2:49" ht="15" customHeight="1" x14ac:dyDescent="0.2">
      <c r="B86" t="s">
        <v>536</v>
      </c>
      <c r="C86" t="s">
        <v>537</v>
      </c>
      <c r="N86" t="s">
        <v>89</v>
      </c>
      <c r="O86">
        <v>99.881897287791588</v>
      </c>
      <c r="P86">
        <v>445.44775340212783</v>
      </c>
      <c r="Q86">
        <v>49.228449090840456</v>
      </c>
      <c r="R86" t="s">
        <v>1013</v>
      </c>
      <c r="S86">
        <v>0.47909901686625161</v>
      </c>
      <c r="T86">
        <v>0.25631744370032417</v>
      </c>
      <c r="U86">
        <v>4.974231536705215E-3</v>
      </c>
      <c r="V86">
        <v>0.36664913787662956</v>
      </c>
      <c r="W86">
        <v>7.7804685947739927E-3</v>
      </c>
      <c r="X86">
        <v>0</v>
      </c>
      <c r="Y86">
        <v>-0.70690731917058358</v>
      </c>
      <c r="Z86">
        <v>0</v>
      </c>
      <c r="AA86">
        <v>0.19365889464504746</v>
      </c>
      <c r="AB86">
        <v>1.2593846552265382</v>
      </c>
      <c r="AC86">
        <v>0</v>
      </c>
      <c r="AD86">
        <v>998.81897287791594</v>
      </c>
      <c r="AE86">
        <v>0.82152898500679516</v>
      </c>
      <c r="AF86">
        <v>90.83061418321364</v>
      </c>
      <c r="AG86">
        <v>9.0512831045779532</v>
      </c>
      <c r="AH86">
        <v>53.499889308242807</v>
      </c>
      <c r="AI86">
        <v>45.124110691757188</v>
      </c>
      <c r="AJ86">
        <v>84.3443066429015</v>
      </c>
      <c r="AK86">
        <v>2.688466363032326</v>
      </c>
      <c r="AL86">
        <v>-1.9697340679607009</v>
      </c>
      <c r="AM86">
        <v>-2.7297989527409072</v>
      </c>
      <c r="AN86">
        <v>0.11401798936200247</v>
      </c>
      <c r="AO86">
        <v>1.9972157567739099</v>
      </c>
      <c r="AP86">
        <v>4.3697600000000003</v>
      </c>
      <c r="AQ86" t="s">
        <v>330</v>
      </c>
      <c r="AR86" t="s">
        <v>330</v>
      </c>
      <c r="AS86">
        <v>4.3697600000000003</v>
      </c>
      <c r="AT86">
        <v>3.929063919532771</v>
      </c>
      <c r="AU86">
        <v>11.644931791421213</v>
      </c>
      <c r="AV86">
        <v>11.644931791421213</v>
      </c>
      <c r="AW86">
        <v>0</v>
      </c>
    </row>
    <row r="87" spans="2:49" ht="15" customHeight="1" x14ac:dyDescent="0.2">
      <c r="B87" t="s">
        <v>538</v>
      </c>
      <c r="C87" t="s">
        <v>539</v>
      </c>
      <c r="N87" t="s">
        <v>89</v>
      </c>
      <c r="O87">
        <v>96.891350078445342</v>
      </c>
      <c r="P87">
        <v>101.27929244535355</v>
      </c>
      <c r="Q87" t="s">
        <v>330</v>
      </c>
      <c r="R87" t="s">
        <v>1013</v>
      </c>
      <c r="S87">
        <v>1.8932070435132623E-13</v>
      </c>
      <c r="T87">
        <v>2.3570056628821649E-14</v>
      </c>
      <c r="U87">
        <v>-2.4511641976283435E-14</v>
      </c>
      <c r="V87">
        <v>1.1368683772161604E-14</v>
      </c>
      <c r="W87">
        <v>1.4555046580221642E-2</v>
      </c>
      <c r="X87">
        <v>0</v>
      </c>
      <c r="Y87">
        <v>-1.3546000480906459E-3</v>
      </c>
      <c r="Z87">
        <v>0</v>
      </c>
      <c r="AA87">
        <v>6.3255113217420339E-3</v>
      </c>
      <c r="AB87">
        <v>-1.2949039522505024</v>
      </c>
      <c r="AC87">
        <v>150.39591308769781</v>
      </c>
      <c r="AD87">
        <v>968.91350078445339</v>
      </c>
      <c r="AE87">
        <v>7.3243522303084079E-14</v>
      </c>
      <c r="AF87">
        <v>97.120241949446282</v>
      </c>
      <c r="AG87">
        <v>-0.22889187100093977</v>
      </c>
      <c r="AH87">
        <v>12.469318249626159</v>
      </c>
      <c r="AI87">
        <v>85.676681750373845</v>
      </c>
      <c r="AJ87">
        <v>687.0999683799273</v>
      </c>
      <c r="AK87">
        <v>0.37143627657982814</v>
      </c>
      <c r="AL87">
        <v>-0.36471788714391096</v>
      </c>
      <c r="AM87">
        <v>-0.43666618504687449</v>
      </c>
      <c r="AN87">
        <v>-0.26819735915366449</v>
      </c>
      <c r="AO87">
        <v>0.37160749000867171</v>
      </c>
      <c r="AP87">
        <v>5.0373929999999998</v>
      </c>
      <c r="AQ87" t="s">
        <v>330</v>
      </c>
      <c r="AR87" t="s">
        <v>330</v>
      </c>
      <c r="AS87">
        <v>5.0373929999999998</v>
      </c>
      <c r="AT87">
        <v>0</v>
      </c>
      <c r="AU87">
        <v>0</v>
      </c>
      <c r="AV87">
        <v>0</v>
      </c>
      <c r="AW87">
        <v>0</v>
      </c>
    </row>
    <row r="88" spans="2:49" ht="15" customHeight="1" x14ac:dyDescent="0.2">
      <c r="B88" t="s">
        <v>540</v>
      </c>
      <c r="C88" t="s">
        <v>541</v>
      </c>
      <c r="N88" t="s">
        <v>89</v>
      </c>
      <c r="O88">
        <v>83.672347958248253</v>
      </c>
      <c r="P88">
        <v>271.62320125663103</v>
      </c>
      <c r="Q88">
        <v>125.15463075042257</v>
      </c>
      <c r="R88" t="s">
        <v>1013</v>
      </c>
      <c r="S88">
        <v>8.3788693392287103E-2</v>
      </c>
      <c r="T88">
        <v>1.1259366065954774E-2</v>
      </c>
      <c r="U88">
        <v>1.4391821851236881E-3</v>
      </c>
      <c r="V88">
        <v>2.9733180514875814E-2</v>
      </c>
      <c r="W88">
        <v>1.5591521799206021E-2</v>
      </c>
      <c r="X88">
        <v>0</v>
      </c>
      <c r="Y88">
        <v>-2.7071804154498447E-2</v>
      </c>
      <c r="Z88">
        <v>0</v>
      </c>
      <c r="AA88">
        <v>0.112862105418925</v>
      </c>
      <c r="AB88">
        <v>-3.3794343182083528</v>
      </c>
      <c r="AC88">
        <v>150.51745405107988</v>
      </c>
      <c r="AD88">
        <v>836.72347958248258</v>
      </c>
      <c r="AE88">
        <v>2.9481318290928281E-2</v>
      </c>
      <c r="AF88">
        <v>84.233265878811793</v>
      </c>
      <c r="AG88">
        <v>-0.56091792056354273</v>
      </c>
      <c r="AH88">
        <v>13.456310594482424</v>
      </c>
      <c r="AI88">
        <v>73.043689405517569</v>
      </c>
      <c r="AJ88">
        <v>542.82107188777388</v>
      </c>
      <c r="AK88">
        <v>2.2496172636802783</v>
      </c>
      <c r="AL88">
        <v>-1.9478803850448685</v>
      </c>
      <c r="AM88">
        <v>-2.2644425784612849</v>
      </c>
      <c r="AN88">
        <v>-0.16422318663646859</v>
      </c>
      <c r="AO88">
        <v>2.2518848382021601</v>
      </c>
      <c r="AP88">
        <v>6.2005229999999996</v>
      </c>
      <c r="AQ88" t="s">
        <v>330</v>
      </c>
      <c r="AR88" t="s">
        <v>330</v>
      </c>
      <c r="AS88">
        <v>6.2005229999999996</v>
      </c>
      <c r="AT88">
        <v>0</v>
      </c>
      <c r="AU88">
        <v>0</v>
      </c>
      <c r="AV88">
        <v>0</v>
      </c>
      <c r="AW88">
        <v>0</v>
      </c>
    </row>
    <row r="89" spans="2:49" ht="15" customHeight="1" x14ac:dyDescent="0.2">
      <c r="B89" t="s">
        <v>542</v>
      </c>
      <c r="C89" t="s">
        <v>543</v>
      </c>
      <c r="N89" t="s">
        <v>89</v>
      </c>
      <c r="O89">
        <v>78.608933269224252</v>
      </c>
      <c r="P89" t="s">
        <v>330</v>
      </c>
      <c r="Q89">
        <v>56.367039696608742</v>
      </c>
      <c r="R89" t="s">
        <v>1013</v>
      </c>
      <c r="S89" t="s">
        <v>330</v>
      </c>
      <c r="T89" t="s">
        <v>330</v>
      </c>
      <c r="U89" t="s">
        <v>330</v>
      </c>
      <c r="V89" t="s">
        <v>330</v>
      </c>
      <c r="W89" t="s">
        <v>330</v>
      </c>
      <c r="X89" t="s">
        <v>330</v>
      </c>
      <c r="Y89" t="s">
        <v>330</v>
      </c>
      <c r="Z89" t="s">
        <v>330</v>
      </c>
      <c r="AA89" t="s">
        <v>330</v>
      </c>
      <c r="AB89">
        <v>-26.603931463045683</v>
      </c>
      <c r="AC89">
        <v>135.00747078512191</v>
      </c>
      <c r="AD89">
        <v>78608.933269224246</v>
      </c>
      <c r="AE89">
        <v>0.28822361775068972</v>
      </c>
      <c r="AF89">
        <v>73.720470080169605</v>
      </c>
      <c r="AG89">
        <v>4.8884631890546437</v>
      </c>
      <c r="AH89">
        <v>66.80078784360353</v>
      </c>
      <c r="AI89">
        <v>32.721212156396476</v>
      </c>
      <c r="AJ89">
        <v>48.983272821578971</v>
      </c>
      <c r="AK89">
        <v>5.178940341921642</v>
      </c>
      <c r="AL89">
        <v>-2.6229148014437671</v>
      </c>
      <c r="AM89">
        <v>-2.3251946779528225</v>
      </c>
      <c r="AN89">
        <v>1.9564792358576959</v>
      </c>
      <c r="AO89">
        <v>3.336662504324619</v>
      </c>
      <c r="AP89">
        <v>1.5762412329389976</v>
      </c>
      <c r="AQ89" t="s">
        <v>330</v>
      </c>
      <c r="AR89" t="s">
        <v>330</v>
      </c>
      <c r="AS89">
        <v>1.5762412329389976</v>
      </c>
      <c r="AT89">
        <v>1.507204437209863</v>
      </c>
      <c r="AU89">
        <v>0</v>
      </c>
      <c r="AV89">
        <v>0</v>
      </c>
      <c r="AW89">
        <v>0.5625</v>
      </c>
    </row>
    <row r="90" spans="2:49" ht="15" customHeight="1" x14ac:dyDescent="0.2">
      <c r="B90" t="s">
        <v>544</v>
      </c>
      <c r="C90" t="s">
        <v>545</v>
      </c>
      <c r="N90" t="s">
        <v>89</v>
      </c>
      <c r="O90">
        <v>83.691203636851526</v>
      </c>
      <c r="P90">
        <v>166.4496917458136</v>
      </c>
      <c r="Q90">
        <v>94.474235907116594</v>
      </c>
      <c r="R90" t="s">
        <v>1013</v>
      </c>
      <c r="S90">
        <v>0.16849154694420265</v>
      </c>
      <c r="T90">
        <v>4.9259788337782523E-2</v>
      </c>
      <c r="U90">
        <v>2.9971855758162197E-3</v>
      </c>
      <c r="V90">
        <v>0.11155185541483661</v>
      </c>
      <c r="W90">
        <v>1.0864661382368013E-2</v>
      </c>
      <c r="X90">
        <v>0</v>
      </c>
      <c r="Y90">
        <v>-0.11634305414066021</v>
      </c>
      <c r="Z90">
        <v>0</v>
      </c>
      <c r="AA90">
        <v>7.5484784204090341E-2</v>
      </c>
      <c r="AB90">
        <v>-6.8893696261880857</v>
      </c>
      <c r="AC90">
        <v>145.6219751642943</v>
      </c>
      <c r="AD90">
        <v>836.91203636851526</v>
      </c>
      <c r="AE90">
        <v>6.8269087731584036E-2</v>
      </c>
      <c r="AF90">
        <v>83.108157048997995</v>
      </c>
      <c r="AG90">
        <v>0.58304658785353924</v>
      </c>
      <c r="AH90">
        <v>29.235762405395509</v>
      </c>
      <c r="AI90">
        <v>60.221237594604489</v>
      </c>
      <c r="AJ90">
        <v>205.98483719887724</v>
      </c>
      <c r="AK90">
        <v>2.55002142157826</v>
      </c>
      <c r="AL90">
        <v>-2.1688252182507881</v>
      </c>
      <c r="AM90">
        <v>-2.592401415413633</v>
      </c>
      <c r="AN90">
        <v>0.10767563460408146</v>
      </c>
      <c r="AO90">
        <v>2.4244332117674281</v>
      </c>
      <c r="AP90">
        <v>4.4934649657459262</v>
      </c>
      <c r="AQ90" t="s">
        <v>330</v>
      </c>
      <c r="AR90" t="s">
        <v>330</v>
      </c>
      <c r="AS90">
        <v>4.4934649999999996</v>
      </c>
      <c r="AT90">
        <v>0.27946387649932369</v>
      </c>
      <c r="AU90">
        <v>240.88495037841795</v>
      </c>
      <c r="AV90">
        <v>240.88495037841795</v>
      </c>
      <c r="AW90">
        <v>8.3333333333333329E-2</v>
      </c>
    </row>
    <row r="91" spans="2:49" ht="15" customHeight="1" x14ac:dyDescent="0.2">
      <c r="B91" t="s">
        <v>546</v>
      </c>
      <c r="C91" t="s">
        <v>547</v>
      </c>
      <c r="N91" t="s">
        <v>89</v>
      </c>
      <c r="O91">
        <v>88.618077901981664</v>
      </c>
      <c r="P91">
        <v>167.61765750960242</v>
      </c>
      <c r="Q91">
        <v>81.028166591446322</v>
      </c>
      <c r="R91" t="s">
        <v>1013</v>
      </c>
      <c r="S91">
        <v>0.18674531542307829</v>
      </c>
      <c r="T91">
        <v>6.7382472257562595E-2</v>
      </c>
      <c r="U91">
        <v>3.6766229053787109E-3</v>
      </c>
      <c r="V91">
        <v>0.1310081803398134</v>
      </c>
      <c r="W91">
        <v>8.9266062277829402E-3</v>
      </c>
      <c r="X91">
        <v>0</v>
      </c>
      <c r="Y91">
        <v>-0.12468319810900816</v>
      </c>
      <c r="Z91">
        <v>0</v>
      </c>
      <c r="AA91">
        <v>5.3077143321144091E-2</v>
      </c>
      <c r="AB91">
        <v>-4.87814924489766</v>
      </c>
      <c r="AC91">
        <v>0</v>
      </c>
      <c r="AD91">
        <v>886.18077901981667</v>
      </c>
      <c r="AE91">
        <v>9.3385661575180898E-2</v>
      </c>
      <c r="AF91">
        <v>87.47577911190649</v>
      </c>
      <c r="AG91">
        <v>1.1422987900751764</v>
      </c>
      <c r="AH91">
        <v>36.082550239562991</v>
      </c>
      <c r="AI91">
        <v>56.858449760437011</v>
      </c>
      <c r="AJ91">
        <v>157.57880023151503</v>
      </c>
      <c r="AK91">
        <v>1.8285077242943446</v>
      </c>
      <c r="AL91">
        <v>-1.5724321543412429</v>
      </c>
      <c r="AM91">
        <v>-1.925705279394947</v>
      </c>
      <c r="AN91">
        <v>5.2085192744061218E-2</v>
      </c>
      <c r="AO91">
        <v>1.6918605936467681</v>
      </c>
      <c r="AP91">
        <v>4.0735322588441694</v>
      </c>
      <c r="AQ91" t="s">
        <v>330</v>
      </c>
      <c r="AR91" t="s">
        <v>330</v>
      </c>
      <c r="AS91">
        <v>4.0735320000000002</v>
      </c>
      <c r="AT91">
        <v>0.13449392625429035</v>
      </c>
      <c r="AU91">
        <v>454.86759808349615</v>
      </c>
      <c r="AV91">
        <v>454.86759808349615</v>
      </c>
      <c r="AW91">
        <v>1.5277777777777777E-2</v>
      </c>
    </row>
    <row r="92" spans="2:49" ht="15" customHeight="1" x14ac:dyDescent="0.2">
      <c r="B92" t="s">
        <v>548</v>
      </c>
      <c r="C92" t="s">
        <v>549</v>
      </c>
      <c r="N92" t="s">
        <v>89</v>
      </c>
      <c r="O92">
        <v>103.59612896805672</v>
      </c>
      <c r="P92" t="s">
        <v>330</v>
      </c>
      <c r="Q92">
        <v>64.582016328629336</v>
      </c>
      <c r="R92" t="s">
        <v>1013</v>
      </c>
      <c r="S92" t="s">
        <v>330</v>
      </c>
      <c r="T92" t="s">
        <v>330</v>
      </c>
      <c r="U92" t="s">
        <v>330</v>
      </c>
      <c r="V92" t="s">
        <v>330</v>
      </c>
      <c r="W92" t="s">
        <v>330</v>
      </c>
      <c r="X92" t="s">
        <v>330</v>
      </c>
      <c r="Y92" t="s">
        <v>330</v>
      </c>
      <c r="Z92" t="s">
        <v>330</v>
      </c>
      <c r="AA92" t="s">
        <v>330</v>
      </c>
      <c r="AB92">
        <v>-4.5251411212370227</v>
      </c>
      <c r="AC92">
        <v>0</v>
      </c>
      <c r="AD92">
        <v>1035.9612896805672</v>
      </c>
      <c r="AE92">
        <v>0.55940793902054875</v>
      </c>
      <c r="AF92">
        <v>93.164052025117442</v>
      </c>
      <c r="AG92">
        <v>10.432076942939272</v>
      </c>
      <c r="AH92">
        <v>82.285560607910156</v>
      </c>
      <c r="AI92">
        <v>25.99843939208985</v>
      </c>
      <c r="AJ92">
        <v>31.595384658035137</v>
      </c>
      <c r="AK92">
        <v>0.92897771371803639</v>
      </c>
      <c r="AL92">
        <v>-0.60074446635940149</v>
      </c>
      <c r="AM92">
        <v>-1.0047808598628762</v>
      </c>
      <c r="AN92">
        <v>1.644789962096661E-2</v>
      </c>
      <c r="AO92">
        <v>0.57989084374440059</v>
      </c>
      <c r="AP92">
        <v>-8.0169250000000005</v>
      </c>
      <c r="AQ92" t="s">
        <v>330</v>
      </c>
      <c r="AR92" t="s">
        <v>330</v>
      </c>
      <c r="AS92">
        <v>-8.0169250000000005</v>
      </c>
      <c r="AT92">
        <v>0.11543718370211667</v>
      </c>
      <c r="AU92">
        <v>207.98751513671868</v>
      </c>
      <c r="AV92">
        <v>207.98751513671868</v>
      </c>
      <c r="AW92">
        <v>4.8611111111111112E-3</v>
      </c>
    </row>
    <row r="93" spans="2:49" ht="15" customHeight="1" x14ac:dyDescent="0.2">
      <c r="B93" t="s">
        <v>550</v>
      </c>
      <c r="C93" t="s">
        <v>551</v>
      </c>
      <c r="N93" t="s">
        <v>89</v>
      </c>
      <c r="O93">
        <v>89.531273848545453</v>
      </c>
      <c r="P93">
        <v>700.92591412378476</v>
      </c>
      <c r="Q93" t="s">
        <v>330</v>
      </c>
      <c r="R93" t="s">
        <v>1013</v>
      </c>
      <c r="S93">
        <v>0.4164780952606939</v>
      </c>
      <c r="T93">
        <v>8.6572782109312976E-2</v>
      </c>
      <c r="U93">
        <v>2.4444949076855059E-3</v>
      </c>
      <c r="V93">
        <v>0.12939871803606592</v>
      </c>
      <c r="W93">
        <v>1.8152744256815366E-2</v>
      </c>
      <c r="X93">
        <v>0</v>
      </c>
      <c r="Y93">
        <v>-0.26287432115297948</v>
      </c>
      <c r="Z93">
        <v>0</v>
      </c>
      <c r="AA93">
        <v>0.43070179537753617</v>
      </c>
      <c r="AB93">
        <v>10.351995956434205</v>
      </c>
      <c r="AC93">
        <v>153.71579531861425</v>
      </c>
      <c r="AD93">
        <v>895.31273848545447</v>
      </c>
      <c r="AE93">
        <v>1.0958569075978826</v>
      </c>
      <c r="AF93">
        <v>86.479366497580358</v>
      </c>
      <c r="AG93">
        <v>3.0519073509650978</v>
      </c>
      <c r="AH93">
        <v>20.786875250935555</v>
      </c>
      <c r="AI93">
        <v>59.476124749064454</v>
      </c>
      <c r="AJ93">
        <v>286.12345064411551</v>
      </c>
      <c r="AK93">
        <v>3.1740278330129961</v>
      </c>
      <c r="AL93">
        <v>-2.4100152582302599</v>
      </c>
      <c r="AM93">
        <v>-2.7710459457805428</v>
      </c>
      <c r="AN93">
        <v>0.15743355054266794</v>
      </c>
      <c r="AO93">
        <v>3.0026478679220308</v>
      </c>
      <c r="AP93">
        <v>9.3773637168952977</v>
      </c>
      <c r="AQ93" t="s">
        <v>330</v>
      </c>
      <c r="AR93" t="s">
        <v>330</v>
      </c>
      <c r="AS93">
        <v>9.377364</v>
      </c>
      <c r="AT93">
        <v>4.3606643160609488</v>
      </c>
      <c r="AU93">
        <v>16.993178499732704</v>
      </c>
      <c r="AV93">
        <v>16.993178499732704</v>
      </c>
      <c r="AW93">
        <v>1.3027777777777778</v>
      </c>
    </row>
    <row r="94" spans="2:49" ht="15" customHeight="1" x14ac:dyDescent="0.2">
      <c r="B94" t="s">
        <v>552</v>
      </c>
      <c r="C94" t="s">
        <v>553</v>
      </c>
      <c r="N94" t="s">
        <v>89</v>
      </c>
      <c r="O94">
        <v>132.44928289690046</v>
      </c>
      <c r="P94" t="s">
        <v>330</v>
      </c>
      <c r="Q94">
        <v>14.576319550684957</v>
      </c>
      <c r="R94" t="s">
        <v>1013</v>
      </c>
      <c r="S94" t="s">
        <v>330</v>
      </c>
      <c r="T94" t="s">
        <v>330</v>
      </c>
      <c r="U94" t="s">
        <v>330</v>
      </c>
      <c r="V94" t="s">
        <v>330</v>
      </c>
      <c r="W94" t="s">
        <v>330</v>
      </c>
      <c r="X94" t="s">
        <v>330</v>
      </c>
      <c r="Y94" t="s">
        <v>330</v>
      </c>
      <c r="Z94" t="s">
        <v>330</v>
      </c>
      <c r="AA94" t="s">
        <v>330</v>
      </c>
      <c r="AB94">
        <v>2.6389594722239273</v>
      </c>
      <c r="AC94">
        <v>0</v>
      </c>
      <c r="AD94">
        <v>1324.4928289690047</v>
      </c>
      <c r="AE94">
        <v>1.3472826781601834</v>
      </c>
      <c r="AF94">
        <v>101.61624386774916</v>
      </c>
      <c r="AG94">
        <v>30.833039029151294</v>
      </c>
      <c r="AH94">
        <v>127.42226944908143</v>
      </c>
      <c r="AI94">
        <v>1.5317305509185815</v>
      </c>
      <c r="AJ94">
        <v>1.2020901507571002</v>
      </c>
      <c r="AK94">
        <v>2.0941452621846635</v>
      </c>
      <c r="AL94">
        <v>-0.61473196527163054</v>
      </c>
      <c r="AM94">
        <v>-2.3712734070234092</v>
      </c>
      <c r="AN94">
        <v>4.6525964939025034E-2</v>
      </c>
      <c r="AO94">
        <v>0.46412630693526874</v>
      </c>
      <c r="AP94">
        <v>-7.5582890000000003</v>
      </c>
      <c r="AQ94" t="s">
        <v>330</v>
      </c>
      <c r="AR94" t="s">
        <v>330</v>
      </c>
      <c r="AS94">
        <v>-7.5582890000000003</v>
      </c>
      <c r="AT94">
        <v>3.489616452378367</v>
      </c>
      <c r="AU94">
        <v>0</v>
      </c>
      <c r="AV94">
        <v>0</v>
      </c>
      <c r="AW94">
        <v>1.5</v>
      </c>
    </row>
    <row r="95" spans="2:49" ht="15" customHeight="1" x14ac:dyDescent="0.2">
      <c r="B95" t="s">
        <v>554</v>
      </c>
      <c r="C95" t="s">
        <v>555</v>
      </c>
      <c r="N95" t="s">
        <v>89</v>
      </c>
      <c r="O95">
        <v>89.550329340621758</v>
      </c>
      <c r="P95">
        <v>173.9210262515692</v>
      </c>
      <c r="Q95">
        <v>64.354549370366044</v>
      </c>
      <c r="R95" t="s">
        <v>1013</v>
      </c>
      <c r="S95">
        <v>0.32987803173618319</v>
      </c>
      <c r="T95">
        <v>0.16740515864216571</v>
      </c>
      <c r="U95">
        <v>5.2118193368239319E-3</v>
      </c>
      <c r="V95">
        <v>0.28005073964016558</v>
      </c>
      <c r="W95">
        <v>4.9670468535055077E-3</v>
      </c>
      <c r="X95">
        <v>0</v>
      </c>
      <c r="Y95">
        <v>-0.37609291529080352</v>
      </c>
      <c r="Z95">
        <v>0</v>
      </c>
      <c r="AA95">
        <v>6.7355426044411873E-2</v>
      </c>
      <c r="AB95">
        <v>-5.7260209952709005</v>
      </c>
      <c r="AC95">
        <v>0</v>
      </c>
      <c r="AD95">
        <v>895.50329340621761</v>
      </c>
      <c r="AE95">
        <v>0.27074798751938495</v>
      </c>
      <c r="AF95">
        <v>85.035045812647027</v>
      </c>
      <c r="AG95">
        <v>4.5152835279747139</v>
      </c>
      <c r="AH95">
        <v>50.747592302856454</v>
      </c>
      <c r="AI95">
        <v>43.930407697143544</v>
      </c>
      <c r="AJ95">
        <v>86.566486612746772</v>
      </c>
      <c r="AK95">
        <v>2.2952163868178066</v>
      </c>
      <c r="AL95">
        <v>-1.7919874773767219</v>
      </c>
      <c r="AM95">
        <v>-2.3660334218241132</v>
      </c>
      <c r="AN95">
        <v>7.7537523909048528E-2</v>
      </c>
      <c r="AO95">
        <v>1.8927179253646274</v>
      </c>
      <c r="AP95">
        <v>2.703557</v>
      </c>
      <c r="AQ95" t="s">
        <v>330</v>
      </c>
      <c r="AR95" t="s">
        <v>330</v>
      </c>
      <c r="AS95">
        <v>2.703557</v>
      </c>
      <c r="AT95">
        <v>0.39607934261391242</v>
      </c>
      <c r="AU95">
        <v>117.14775385904946</v>
      </c>
      <c r="AV95">
        <v>117.14775385904946</v>
      </c>
      <c r="AW95">
        <v>4.583333333333333E-2</v>
      </c>
    </row>
    <row r="96" spans="2:49" ht="15" customHeight="1" x14ac:dyDescent="0.2">
      <c r="B96" t="s">
        <v>556</v>
      </c>
      <c r="C96" t="s">
        <v>557</v>
      </c>
      <c r="N96" t="s">
        <v>89</v>
      </c>
      <c r="O96">
        <v>92.989027952169138</v>
      </c>
      <c r="P96">
        <v>72.856374715271983</v>
      </c>
      <c r="Q96">
        <v>66.374754407437663</v>
      </c>
      <c r="R96" t="s">
        <v>1013</v>
      </c>
      <c r="S96">
        <v>0.22967097661081734</v>
      </c>
      <c r="T96">
        <v>0.12717166730154694</v>
      </c>
      <c r="U96">
        <v>5.7496329545244328E-3</v>
      </c>
      <c r="V96">
        <v>0.1975784159924899</v>
      </c>
      <c r="W96">
        <v>2.8615348552193608E-3</v>
      </c>
      <c r="X96">
        <v>0</v>
      </c>
      <c r="Y96">
        <v>-0.16986333794167213</v>
      </c>
      <c r="Z96">
        <v>0</v>
      </c>
      <c r="AA96">
        <v>1.6878146814944428E-2</v>
      </c>
      <c r="AB96">
        <v>-5.2016588992830997</v>
      </c>
      <c r="AC96">
        <v>0</v>
      </c>
      <c r="AD96">
        <v>929.89027952169135</v>
      </c>
      <c r="AE96">
        <v>0.20567893279361379</v>
      </c>
      <c r="AF96">
        <v>90.638041391454138</v>
      </c>
      <c r="AG96">
        <v>2.3509865607150005</v>
      </c>
      <c r="AH96">
        <v>55.371239839782717</v>
      </c>
      <c r="AI96">
        <v>42.454760160217276</v>
      </c>
      <c r="AJ96">
        <v>76.672944805029815</v>
      </c>
      <c r="AK96">
        <v>1.398976823770717</v>
      </c>
      <c r="AL96">
        <v>-1.1770162733692473</v>
      </c>
      <c r="AM96">
        <v>-1.535060666658751</v>
      </c>
      <c r="AN96">
        <v>4.3165018873460807E-3</v>
      </c>
      <c r="AO96">
        <v>1.2031732600425731</v>
      </c>
      <c r="AP96">
        <v>1.9411560000000001</v>
      </c>
      <c r="AQ96" t="s">
        <v>330</v>
      </c>
      <c r="AR96" t="s">
        <v>330</v>
      </c>
      <c r="AS96">
        <v>1.9411560000000001</v>
      </c>
      <c r="AT96">
        <v>0.38333367407437702</v>
      </c>
      <c r="AU96">
        <v>113.21269376057938</v>
      </c>
      <c r="AV96">
        <v>113.21269376057938</v>
      </c>
      <c r="AW96">
        <v>3.1249999999999997E-2</v>
      </c>
    </row>
    <row r="97" spans="2:49" ht="15" customHeight="1" x14ac:dyDescent="0.2">
      <c r="B97" t="s">
        <v>300</v>
      </c>
      <c r="C97" t="s">
        <v>339</v>
      </c>
      <c r="N97" t="s">
        <v>89</v>
      </c>
      <c r="O97">
        <v>102.19182264322025</v>
      </c>
      <c r="P97">
        <v>377.05445280382418</v>
      </c>
      <c r="Q97">
        <v>31.95712560844154</v>
      </c>
      <c r="R97" t="s">
        <v>1013</v>
      </c>
      <c r="S97">
        <v>0.34307568104510489</v>
      </c>
      <c r="T97">
        <v>0.29784240680694768</v>
      </c>
      <c r="U97">
        <v>1.768047786132405E-2</v>
      </c>
      <c r="V97">
        <v>0.18058437371418562</v>
      </c>
      <c r="W97">
        <v>-1.4421232919687554E-2</v>
      </c>
      <c r="X97">
        <v>0.23657560703872771</v>
      </c>
      <c r="Y97">
        <v>-9.1624744701268343E-2</v>
      </c>
      <c r="Z97">
        <v>0</v>
      </c>
      <c r="AA97">
        <v>2.0091227899249386E-2</v>
      </c>
      <c r="AB97">
        <v>1.1662602861886802</v>
      </c>
      <c r="AC97">
        <v>141.81169762334963</v>
      </c>
      <c r="AD97">
        <v>1021.9182264322025</v>
      </c>
      <c r="AE97">
        <v>0.13485252837750672</v>
      </c>
      <c r="AF97">
        <v>98.504643194279225</v>
      </c>
      <c r="AG97">
        <v>3.6871794489410261</v>
      </c>
      <c r="AH97">
        <v>86.850660953979499</v>
      </c>
      <c r="AI97">
        <v>14.184634393310546</v>
      </c>
      <c r="AJ97">
        <v>16.338852338159786</v>
      </c>
      <c r="AK97">
        <v>0.3307691736974594</v>
      </c>
      <c r="AL97">
        <v>-0.24021725435244434</v>
      </c>
      <c r="AM97">
        <v>-0.39966484680894609</v>
      </c>
      <c r="AN97">
        <v>-0.45802223497269162</v>
      </c>
      <c r="AO97">
        <v>0.23783886569548945</v>
      </c>
      <c r="AP97">
        <v>-2.9952580000000002</v>
      </c>
      <c r="AQ97" t="s">
        <v>330</v>
      </c>
      <c r="AR97" t="s">
        <v>330</v>
      </c>
      <c r="AS97">
        <v>-2.9952580000000002</v>
      </c>
      <c r="AT97">
        <v>0</v>
      </c>
      <c r="AU97">
        <v>0</v>
      </c>
      <c r="AV97">
        <v>0</v>
      </c>
      <c r="AW97">
        <v>0</v>
      </c>
    </row>
    <row r="98" spans="2:49" ht="15" customHeight="1" x14ac:dyDescent="0.2">
      <c r="B98" t="s">
        <v>301</v>
      </c>
      <c r="C98" t="s">
        <v>340</v>
      </c>
      <c r="N98" t="s">
        <v>89</v>
      </c>
      <c r="O98">
        <v>100.81689309568029</v>
      </c>
      <c r="P98">
        <v>264.99086751448004</v>
      </c>
      <c r="Q98">
        <v>29.991566116195202</v>
      </c>
      <c r="R98" t="s">
        <v>1013</v>
      </c>
      <c r="S98">
        <v>0.32347086376479417</v>
      </c>
      <c r="T98">
        <v>0.28179714049937737</v>
      </c>
      <c r="U98">
        <v>1.8657349579617896E-2</v>
      </c>
      <c r="V98">
        <v>0.1930113773881999</v>
      </c>
      <c r="W98">
        <v>-8.3041559530443003E-3</v>
      </c>
      <c r="X98">
        <v>4.6869858538807546E-3</v>
      </c>
      <c r="Y98">
        <v>-0.10764943649539604</v>
      </c>
      <c r="Z98">
        <v>0</v>
      </c>
      <c r="AA98">
        <v>1.736049399241955E-2</v>
      </c>
      <c r="AB98">
        <v>0.38574199594826158</v>
      </c>
      <c r="AC98">
        <v>139.74378387618415</v>
      </c>
      <c r="AD98">
        <v>1008.1689309568028</v>
      </c>
      <c r="AE98">
        <v>2.4213775638975168</v>
      </c>
      <c r="AF98">
        <v>97.719027945613391</v>
      </c>
      <c r="AG98">
        <v>3.0978651500668888</v>
      </c>
      <c r="AH98">
        <v>87.177049578828814</v>
      </c>
      <c r="AI98">
        <v>13.250950421171183</v>
      </c>
      <c r="AJ98">
        <v>15.200044604846564</v>
      </c>
      <c r="AK98">
        <v>0.40725826101525187</v>
      </c>
      <c r="AL98">
        <v>-0.29751454735315974</v>
      </c>
      <c r="AM98">
        <v>-0.48029312732523977</v>
      </c>
      <c r="AN98">
        <v>-0.50335174828915052</v>
      </c>
      <c r="AO98">
        <v>0.2962466118544228</v>
      </c>
      <c r="AP98">
        <v>-1.029687</v>
      </c>
      <c r="AQ98" t="s">
        <v>330</v>
      </c>
      <c r="AR98" t="s">
        <v>330</v>
      </c>
      <c r="AS98">
        <v>-1.029687</v>
      </c>
      <c r="AT98">
        <v>0</v>
      </c>
      <c r="AU98">
        <v>0</v>
      </c>
      <c r="AV98">
        <v>0</v>
      </c>
      <c r="AW98">
        <v>0</v>
      </c>
    </row>
    <row r="99" spans="2:49" ht="15" customHeight="1" x14ac:dyDescent="0.2">
      <c r="B99" t="s">
        <v>302</v>
      </c>
      <c r="C99" t="s">
        <v>341</v>
      </c>
      <c r="N99" t="s">
        <v>89</v>
      </c>
      <c r="O99">
        <v>98.476575513269367</v>
      </c>
      <c r="P99">
        <v>21.739372007370154</v>
      </c>
      <c r="Q99">
        <v>69.612888842012708</v>
      </c>
      <c r="R99" t="s">
        <v>1013</v>
      </c>
      <c r="S99">
        <v>8.795171876632452E-4</v>
      </c>
      <c r="T99">
        <v>5.5128919455593999E-4</v>
      </c>
      <c r="U99">
        <v>1.9459564405962946E-4</v>
      </c>
      <c r="V99">
        <v>1.0631300677050603E-3</v>
      </c>
      <c r="W99">
        <v>6.5089149893756259E-3</v>
      </c>
      <c r="X99">
        <v>0</v>
      </c>
      <c r="Y99">
        <v>-6.4596826890671126E-4</v>
      </c>
      <c r="Z99">
        <v>0</v>
      </c>
      <c r="AA99">
        <v>1.2619845640209155E-3</v>
      </c>
      <c r="AB99">
        <v>-1.6201055717211081</v>
      </c>
      <c r="AC99">
        <v>138.15014397831169</v>
      </c>
      <c r="AD99">
        <v>98476.575513269359</v>
      </c>
      <c r="AE99">
        <v>9.2498189373525178E-4</v>
      </c>
      <c r="AF99">
        <v>98.721977722598155</v>
      </c>
      <c r="AG99">
        <v>-0.24540220932877857</v>
      </c>
      <c r="AH99">
        <v>62.680889275244148</v>
      </c>
      <c r="AI99">
        <v>37.391110724755855</v>
      </c>
      <c r="AJ99">
        <v>59.653127383952885</v>
      </c>
      <c r="AK99">
        <v>0.35593045334810469</v>
      </c>
      <c r="AL99">
        <v>-0.36297135745408016</v>
      </c>
      <c r="AM99">
        <v>-0.43129389629510118</v>
      </c>
      <c r="AN99">
        <v>-9.4422830062177179E-2</v>
      </c>
      <c r="AO99">
        <v>0.36271020610568405</v>
      </c>
      <c r="AP99">
        <v>2.3808929999999999</v>
      </c>
      <c r="AQ99" t="s">
        <v>330</v>
      </c>
      <c r="AR99" t="s">
        <v>330</v>
      </c>
      <c r="AS99">
        <v>2.3808929999999999</v>
      </c>
      <c r="AT99">
        <v>2.6231113598209288</v>
      </c>
      <c r="AU99">
        <v>0</v>
      </c>
      <c r="AV99">
        <v>32.885269277602376</v>
      </c>
      <c r="AW99">
        <v>1.6756849315068494</v>
      </c>
    </row>
    <row r="100" spans="2:49" ht="15" customHeight="1" x14ac:dyDescent="0.2">
      <c r="B100" t="s">
        <v>558</v>
      </c>
      <c r="C100" t="s">
        <v>559</v>
      </c>
      <c r="N100" t="s">
        <v>89</v>
      </c>
      <c r="O100">
        <v>126.19852939413387</v>
      </c>
      <c r="P100">
        <v>462.98755684525293</v>
      </c>
      <c r="Q100">
        <v>41.944417986030849</v>
      </c>
      <c r="R100" t="s">
        <v>1013</v>
      </c>
      <c r="S100">
        <v>0.74034896819707896</v>
      </c>
      <c r="T100">
        <v>0.83414481643711991</v>
      </c>
      <c r="U100">
        <v>6.7976763548250867E-3</v>
      </c>
      <c r="V100">
        <v>0.51125775796769191</v>
      </c>
      <c r="W100">
        <v>-9.8220542797818784E-3</v>
      </c>
      <c r="X100">
        <v>0.5233695741716291</v>
      </c>
      <c r="Y100">
        <v>-0.73473699135679238</v>
      </c>
      <c r="Z100">
        <v>0</v>
      </c>
      <c r="AA100">
        <v>8.2748797182520414E-2</v>
      </c>
      <c r="AB100">
        <v>0.85304432571613775</v>
      </c>
      <c r="AC100">
        <v>149.61590499353952</v>
      </c>
      <c r="AD100">
        <v>12619852.939413387</v>
      </c>
      <c r="AE100">
        <v>2.0197211051746246E-2</v>
      </c>
      <c r="AF100">
        <v>96.92965216999184</v>
      </c>
      <c r="AG100">
        <v>29.268877224142031</v>
      </c>
      <c r="AH100">
        <v>112.66914013110001</v>
      </c>
      <c r="AI100">
        <v>12.452859868899992</v>
      </c>
      <c r="AJ100">
        <v>11.05259155649013</v>
      </c>
      <c r="AK100">
        <v>1.2821241684855607</v>
      </c>
      <c r="AL100">
        <v>-0.70289728229399773</v>
      </c>
      <c r="AM100">
        <v>-1.686845700244233</v>
      </c>
      <c r="AN100">
        <v>3.5561471807721561E-2</v>
      </c>
      <c r="AO100">
        <v>0.56176953876536317</v>
      </c>
      <c r="AP100">
        <v>-7.4824859999999997</v>
      </c>
      <c r="AQ100" t="s">
        <v>330</v>
      </c>
      <c r="AR100">
        <v>-29.868105</v>
      </c>
      <c r="AS100">
        <v>-7.4824859999999997</v>
      </c>
      <c r="AT100">
        <v>0</v>
      </c>
      <c r="AU100">
        <v>0</v>
      </c>
      <c r="AV100">
        <v>0</v>
      </c>
      <c r="AW100">
        <v>0</v>
      </c>
    </row>
    <row r="101" spans="2:49" ht="15" customHeight="1" x14ac:dyDescent="0.2">
      <c r="B101" t="s">
        <v>560</v>
      </c>
      <c r="C101" t="s">
        <v>561</v>
      </c>
      <c r="N101" t="s">
        <v>89</v>
      </c>
      <c r="O101">
        <v>81.465194358389397</v>
      </c>
      <c r="P101">
        <v>176.90644739454822</v>
      </c>
      <c r="Q101">
        <v>90.416542913611181</v>
      </c>
      <c r="R101" t="s">
        <v>1013</v>
      </c>
      <c r="S101">
        <v>0.16422857864891427</v>
      </c>
      <c r="T101">
        <v>4.5308420842852359E-2</v>
      </c>
      <c r="U101">
        <v>2.9928238721343521E-3</v>
      </c>
      <c r="V101">
        <v>0.11733643757949039</v>
      </c>
      <c r="W101">
        <v>1.1758327405698311E-2</v>
      </c>
      <c r="X101">
        <v>0</v>
      </c>
      <c r="Y101">
        <v>-0.13861963965162702</v>
      </c>
      <c r="Z101">
        <v>0</v>
      </c>
      <c r="AA101">
        <v>0.10205338314042951</v>
      </c>
      <c r="AB101">
        <v>-8.2867360653579407</v>
      </c>
      <c r="AC101">
        <v>143.90988748076708</v>
      </c>
      <c r="AD101">
        <v>814.65194358389408</v>
      </c>
      <c r="AE101">
        <v>0.20627942297031088</v>
      </c>
      <c r="AF101">
        <v>81.175328503513498</v>
      </c>
      <c r="AG101">
        <v>0.28986585487590444</v>
      </c>
      <c r="AH101">
        <v>27.550857343254091</v>
      </c>
      <c r="AI101">
        <v>60.6651426567459</v>
      </c>
      <c r="AJ101">
        <v>220.19330252022064</v>
      </c>
      <c r="AK101">
        <v>3.224156559224296</v>
      </c>
      <c r="AL101">
        <v>-2.7049885487705865</v>
      </c>
      <c r="AM101">
        <v>-3.21024920919956</v>
      </c>
      <c r="AN101">
        <v>0.14397817141399294</v>
      </c>
      <c r="AO101">
        <v>3.0663241914965389</v>
      </c>
      <c r="AP101">
        <v>4.7819399999999996</v>
      </c>
      <c r="AQ101" t="s">
        <v>330</v>
      </c>
      <c r="AR101" t="s">
        <v>330</v>
      </c>
      <c r="AS101">
        <v>4.7819399999999996</v>
      </c>
      <c r="AT101">
        <v>1.133581209757867</v>
      </c>
      <c r="AU101">
        <v>60.665142656745914</v>
      </c>
      <c r="AV101">
        <v>60.665142656745914</v>
      </c>
      <c r="AW101">
        <v>8.3333333333333329E-2</v>
      </c>
    </row>
    <row r="102" spans="2:49" ht="15" customHeight="1" x14ac:dyDescent="0.2">
      <c r="B102" t="s">
        <v>562</v>
      </c>
      <c r="C102" t="s">
        <v>563</v>
      </c>
      <c r="N102" t="s">
        <v>89</v>
      </c>
      <c r="O102">
        <v>134.3743245531017</v>
      </c>
      <c r="P102">
        <v>335.83433044939949</v>
      </c>
      <c r="Q102">
        <v>30.953750105622131</v>
      </c>
      <c r="R102" t="s">
        <v>1013</v>
      </c>
      <c r="S102">
        <v>0.7880886737000572</v>
      </c>
      <c r="T102">
        <v>0.88392587786104315</v>
      </c>
      <c r="U102">
        <v>3.7433463734681998E-3</v>
      </c>
      <c r="V102">
        <v>0.41922410067365945</v>
      </c>
      <c r="W102">
        <v>-3.4876778069929059E-3</v>
      </c>
      <c r="X102">
        <v>8.37178509949775E-2</v>
      </c>
      <c r="Y102">
        <v>-0.8904016612547222</v>
      </c>
      <c r="Z102">
        <v>0</v>
      </c>
      <c r="AA102">
        <v>8.2600555713627677E-2</v>
      </c>
      <c r="AB102">
        <v>4.995987570861236</v>
      </c>
      <c r="AC102">
        <v>144.44538718998402</v>
      </c>
      <c r="AD102">
        <v>1343.743245531017</v>
      </c>
      <c r="AE102">
        <v>1.7409157042418353</v>
      </c>
      <c r="AF102">
        <v>91.066722466709763</v>
      </c>
      <c r="AG102">
        <v>43.307602086391945</v>
      </c>
      <c r="AH102">
        <v>112.28194497299195</v>
      </c>
      <c r="AI102">
        <v>15.37905502700805</v>
      </c>
      <c r="AJ102">
        <v>13.69681922655267</v>
      </c>
      <c r="AK102">
        <v>1.9917160625999417</v>
      </c>
      <c r="AL102">
        <v>-1.1019148149285911</v>
      </c>
      <c r="AM102">
        <v>-2.0513210451279065</v>
      </c>
      <c r="AN102">
        <v>0.91257632709031111</v>
      </c>
      <c r="AO102">
        <v>0.86315696644127105</v>
      </c>
      <c r="AP102">
        <v>-5.2928050000000004</v>
      </c>
      <c r="AQ102" t="s">
        <v>330</v>
      </c>
      <c r="AR102" t="s">
        <v>330</v>
      </c>
      <c r="AS102">
        <v>-5.2928050000000004</v>
      </c>
      <c r="AT102">
        <v>0.88124015948488565</v>
      </c>
      <c r="AU102">
        <v>38.905452783685327</v>
      </c>
      <c r="AV102">
        <v>31.875315177757194</v>
      </c>
      <c r="AW102">
        <v>0.1875</v>
      </c>
    </row>
    <row r="103" spans="2:49" ht="15" customHeight="1" x14ac:dyDescent="0.2">
      <c r="B103" t="s">
        <v>564</v>
      </c>
      <c r="C103" t="s">
        <v>565</v>
      </c>
      <c r="N103" t="s">
        <v>89</v>
      </c>
      <c r="O103">
        <v>103.77394380389951</v>
      </c>
      <c r="P103">
        <v>1276.6292096600512</v>
      </c>
      <c r="Q103">
        <v>37.423520752573204</v>
      </c>
      <c r="R103" t="s">
        <v>1013</v>
      </c>
      <c r="S103">
        <v>0.47886507389552752</v>
      </c>
      <c r="T103">
        <v>0.45193841995582085</v>
      </c>
      <c r="U103">
        <v>2.4876511373640275E-2</v>
      </c>
      <c r="V103">
        <v>0.14633880834183516</v>
      </c>
      <c r="W103">
        <v>-3.7949820173184892E-2</v>
      </c>
      <c r="X103">
        <v>0</v>
      </c>
      <c r="Y103">
        <v>-6.1707196089848301E-2</v>
      </c>
      <c r="Z103">
        <v>0</v>
      </c>
      <c r="AA103">
        <v>3.2276594629616254E-2</v>
      </c>
      <c r="AB103">
        <v>1.6130675413692979</v>
      </c>
      <c r="AC103">
        <v>0</v>
      </c>
      <c r="AD103">
        <v>1037.7394380389951</v>
      </c>
      <c r="AE103">
        <v>0.5972562215477788</v>
      </c>
      <c r="AF103">
        <v>98.687938995094811</v>
      </c>
      <c r="AG103">
        <v>5.086004808804705</v>
      </c>
      <c r="AH103">
        <v>94.426691145477307</v>
      </c>
      <c r="AI103">
        <v>7.6733088545226877</v>
      </c>
      <c r="AJ103">
        <v>8.1262074964597666</v>
      </c>
      <c r="AK103">
        <v>0.161549609550907</v>
      </c>
      <c r="AL103">
        <v>-9.8856618135357621E-2</v>
      </c>
      <c r="AM103">
        <v>-0.21719536848593179</v>
      </c>
      <c r="AN103">
        <v>-0.53405231152967814</v>
      </c>
      <c r="AO103">
        <v>9.6823328242269968E-2</v>
      </c>
      <c r="AP103">
        <v>-12.550008999999999</v>
      </c>
      <c r="AQ103" t="s">
        <v>330</v>
      </c>
      <c r="AR103" t="s">
        <v>330</v>
      </c>
      <c r="AS103">
        <v>-12.550008999999999</v>
      </c>
      <c r="AT103">
        <v>0</v>
      </c>
      <c r="AU103">
        <v>0</v>
      </c>
      <c r="AV103">
        <v>0</v>
      </c>
      <c r="AW103">
        <v>0</v>
      </c>
    </row>
    <row r="104" spans="2:49" ht="15" customHeight="1" x14ac:dyDescent="0.2">
      <c r="B104" t="s">
        <v>566</v>
      </c>
      <c r="C104" t="s">
        <v>567</v>
      </c>
      <c r="N104" t="s">
        <v>89</v>
      </c>
      <c r="O104">
        <v>95.172236838142268</v>
      </c>
      <c r="P104">
        <v>155.14124367173017</v>
      </c>
      <c r="Q104">
        <v>63.908233326801941</v>
      </c>
      <c r="R104" t="s">
        <v>1013</v>
      </c>
      <c r="S104">
        <v>0.36732839880717644</v>
      </c>
      <c r="T104">
        <v>0.22765009302917597</v>
      </c>
      <c r="U104">
        <v>5.6633526988725457E-3</v>
      </c>
      <c r="V104">
        <v>0.28015579338572821</v>
      </c>
      <c r="W104">
        <v>1.1629900729872133E-3</v>
      </c>
      <c r="X104">
        <v>0</v>
      </c>
      <c r="Y104">
        <v>-0.30363763530656879</v>
      </c>
      <c r="Z104">
        <v>0</v>
      </c>
      <c r="AA104">
        <v>4.2193485863384179E-2</v>
      </c>
      <c r="AB104">
        <v>-4.5399407489034562</v>
      </c>
      <c r="AC104">
        <v>144.77570062423223</v>
      </c>
      <c r="AD104">
        <v>951.72236838142271</v>
      </c>
      <c r="AE104">
        <v>0.29924476694297497</v>
      </c>
      <c r="AF104">
        <v>88.600827422738689</v>
      </c>
      <c r="AG104">
        <v>6.5714094154035827</v>
      </c>
      <c r="AH104">
        <v>61.950085858459474</v>
      </c>
      <c r="AI104">
        <v>37.542914141540521</v>
      </c>
      <c r="AJ104">
        <v>60.601875883298582</v>
      </c>
      <c r="AK104">
        <v>1.6733926204432459</v>
      </c>
      <c r="AL104">
        <v>-1.3158977794064981</v>
      </c>
      <c r="AM104">
        <v>-1.8196456556366911</v>
      </c>
      <c r="AN104">
        <v>4.6445893407692868E-2</v>
      </c>
      <c r="AO104">
        <v>1.3226033785356741</v>
      </c>
      <c r="AP104">
        <v>0.78546099999999996</v>
      </c>
      <c r="AQ104" t="s">
        <v>330</v>
      </c>
      <c r="AR104" t="s">
        <v>330</v>
      </c>
      <c r="AS104">
        <v>0.78546099999999996</v>
      </c>
      <c r="AT104">
        <v>0.50254791794397602</v>
      </c>
      <c r="AU104">
        <v>75.085828283081042</v>
      </c>
      <c r="AV104">
        <v>75.085828283081042</v>
      </c>
      <c r="AW104">
        <v>0.10277777777777779</v>
      </c>
    </row>
    <row r="105" spans="2:49" ht="15" customHeight="1" x14ac:dyDescent="0.2">
      <c r="B105" t="s">
        <v>568</v>
      </c>
      <c r="C105" t="s">
        <v>569</v>
      </c>
      <c r="N105" t="s">
        <v>89</v>
      </c>
      <c r="O105">
        <v>101.63316803993666</v>
      </c>
      <c r="P105">
        <v>35.470543052851838</v>
      </c>
      <c r="Q105">
        <v>28.059684336031328</v>
      </c>
      <c r="R105" t="s">
        <v>1013</v>
      </c>
      <c r="S105">
        <v>0.4263174884392017</v>
      </c>
      <c r="T105">
        <v>0.34934183766634291</v>
      </c>
      <c r="U105">
        <v>9.8460450759523463E-3</v>
      </c>
      <c r="V105">
        <v>0.47423830145634566</v>
      </c>
      <c r="W105">
        <v>-2.5601836702116997E-3</v>
      </c>
      <c r="X105">
        <v>5.9425489620956147E-3</v>
      </c>
      <c r="Y105">
        <v>-0.62495947371534333</v>
      </c>
      <c r="Z105">
        <v>0</v>
      </c>
      <c r="AA105">
        <v>1.3296524034420316E-2</v>
      </c>
      <c r="AB105">
        <v>-0.78501140469204567</v>
      </c>
      <c r="AC105">
        <v>138.02696209094222</v>
      </c>
      <c r="AD105">
        <v>101633.16803993666</v>
      </c>
      <c r="AE105">
        <v>0.75635219683717803</v>
      </c>
      <c r="AF105">
        <v>93.667679614025843</v>
      </c>
      <c r="AG105">
        <v>7.9654884259108369</v>
      </c>
      <c r="AH105">
        <v>81.890754552271687</v>
      </c>
      <c r="AI105">
        <v>20.54024544772831</v>
      </c>
      <c r="AJ105">
        <v>25.08249625984001</v>
      </c>
      <c r="AK105">
        <v>2.2530789107960443</v>
      </c>
      <c r="AL105">
        <v>-1.9442185748133489</v>
      </c>
      <c r="AM105">
        <v>-2.6658657139299611</v>
      </c>
      <c r="AN105">
        <v>5.4097616577021918E-2</v>
      </c>
      <c r="AO105">
        <v>1.8980763390119679</v>
      </c>
      <c r="AP105">
        <v>-0.99694166376697035</v>
      </c>
      <c r="AQ105" t="s">
        <v>330</v>
      </c>
      <c r="AR105" t="s">
        <v>330</v>
      </c>
      <c r="AS105">
        <v>-0.99694166376697035</v>
      </c>
      <c r="AT105">
        <v>0</v>
      </c>
      <c r="AU105">
        <v>0</v>
      </c>
      <c r="AV105">
        <v>0</v>
      </c>
      <c r="AW105">
        <v>0</v>
      </c>
    </row>
    <row r="106" spans="2:49" ht="15" customHeight="1" x14ac:dyDescent="0.2">
      <c r="B106" t="s">
        <v>570</v>
      </c>
      <c r="C106" t="s">
        <v>571</v>
      </c>
      <c r="N106" t="s">
        <v>89</v>
      </c>
      <c r="O106">
        <v>108.82804561627077</v>
      </c>
      <c r="P106">
        <v>322.98284801105859</v>
      </c>
      <c r="Q106">
        <v>67.683482627792102</v>
      </c>
      <c r="R106" t="s">
        <v>1013</v>
      </c>
      <c r="S106">
        <v>0.53045484329635295</v>
      </c>
      <c r="T106">
        <v>0.3873811686948489</v>
      </c>
      <c r="U106">
        <v>3.8856532426938812E-3</v>
      </c>
      <c r="V106">
        <v>0.30275920171500276</v>
      </c>
      <c r="W106">
        <v>1.7533176537654072E-4</v>
      </c>
      <c r="X106">
        <v>0</v>
      </c>
      <c r="Y106">
        <v>-0.41641597063980423</v>
      </c>
      <c r="Z106">
        <v>0</v>
      </c>
      <c r="AA106">
        <v>8.8887596411739156E-2</v>
      </c>
      <c r="AB106">
        <v>-1.4306554665321083</v>
      </c>
      <c r="AC106">
        <v>149.02581051506277</v>
      </c>
      <c r="AD106">
        <v>1088.2804561627077</v>
      </c>
      <c r="AE106">
        <v>0.76128487294198954</v>
      </c>
      <c r="AF106">
        <v>90.349986609971424</v>
      </c>
      <c r="AG106">
        <v>18.47805900629934</v>
      </c>
      <c r="AH106">
        <v>73.028114191131607</v>
      </c>
      <c r="AI106">
        <v>37.356885808868398</v>
      </c>
      <c r="AJ106">
        <v>51.154115401496902</v>
      </c>
      <c r="AK106">
        <v>1.8860926944256102</v>
      </c>
      <c r="AL106">
        <v>-1.4535732205574732</v>
      </c>
      <c r="AM106">
        <v>-2.0683603780137219</v>
      </c>
      <c r="AN106">
        <v>-0.2647804368219065</v>
      </c>
      <c r="AO106">
        <v>1.316821325866262</v>
      </c>
      <c r="AP106">
        <v>-1.1525289999999999</v>
      </c>
      <c r="AQ106" t="s">
        <v>330</v>
      </c>
      <c r="AR106" t="s">
        <v>330</v>
      </c>
      <c r="AS106">
        <v>-1.1525289999999999</v>
      </c>
      <c r="AT106">
        <v>2.7177605652941978</v>
      </c>
      <c r="AU106">
        <v>12.452295269622796</v>
      </c>
      <c r="AV106">
        <v>12.452295269622796</v>
      </c>
      <c r="AW106">
        <v>0.11666666666666665</v>
      </c>
    </row>
    <row r="107" spans="2:49" ht="15" customHeight="1" x14ac:dyDescent="0.2">
      <c r="B107" t="s">
        <v>572</v>
      </c>
      <c r="C107" t="s">
        <v>573</v>
      </c>
      <c r="N107" t="s">
        <v>89</v>
      </c>
      <c r="O107">
        <v>99.611277626155911</v>
      </c>
      <c r="P107">
        <v>97.459749974732333</v>
      </c>
      <c r="Q107" t="s">
        <v>330</v>
      </c>
      <c r="R107" t="s">
        <v>1013</v>
      </c>
      <c r="S107">
        <v>-2.370155136441724E-14</v>
      </c>
      <c r="T107">
        <v>-2.5314029646133386E-15</v>
      </c>
      <c r="U107">
        <v>8.3475565404774828E-14</v>
      </c>
      <c r="V107">
        <v>-1.7053025658242404E-13</v>
      </c>
      <c r="W107">
        <v>1.4697078126687302E-2</v>
      </c>
      <c r="X107">
        <v>0</v>
      </c>
      <c r="Y107">
        <v>-2.0558187915547931E-5</v>
      </c>
      <c r="Z107">
        <v>0</v>
      </c>
      <c r="AA107">
        <v>7.1104316271940876E-4</v>
      </c>
      <c r="AB107">
        <v>-0.15432225899260169</v>
      </c>
      <c r="AC107">
        <v>0</v>
      </c>
      <c r="AD107">
        <v>996.11277626155902</v>
      </c>
      <c r="AE107">
        <v>-6.8625846745853506E-14</v>
      </c>
      <c r="AF107">
        <v>99.640138690946372</v>
      </c>
      <c r="AG107">
        <v>-2.8861064790476121E-2</v>
      </c>
      <c r="AH107">
        <v>10.680326049938206</v>
      </c>
      <c r="AI107">
        <v>89.084673950061799</v>
      </c>
      <c r="AJ107">
        <v>834.10069630390387</v>
      </c>
      <c r="AK107">
        <v>4.3820051518682498E-2</v>
      </c>
      <c r="AL107">
        <v>-4.4200744213924281E-2</v>
      </c>
      <c r="AM107">
        <v>-5.1068223872789531E-2</v>
      </c>
      <c r="AN107">
        <v>-4.0763991452515266E-3</v>
      </c>
      <c r="AO107">
        <v>4.4304860636419863E-2</v>
      </c>
      <c r="AP107">
        <v>5.6532852202675317</v>
      </c>
      <c r="AQ107" t="s">
        <v>330</v>
      </c>
      <c r="AR107" t="s">
        <v>330</v>
      </c>
      <c r="AS107">
        <v>5.6532850000000003</v>
      </c>
      <c r="AT107">
        <v>0</v>
      </c>
      <c r="AU107">
        <v>0</v>
      </c>
      <c r="AV107">
        <v>0</v>
      </c>
      <c r="AW107">
        <v>0</v>
      </c>
    </row>
    <row r="108" spans="2:49" ht="15" customHeight="1" x14ac:dyDescent="0.2">
      <c r="B108" t="s">
        <v>303</v>
      </c>
      <c r="C108" t="s">
        <v>342</v>
      </c>
      <c r="N108" t="s">
        <v>89</v>
      </c>
      <c r="O108">
        <v>136.99829872645523</v>
      </c>
      <c r="P108">
        <v>1128.2567390822394</v>
      </c>
      <c r="Q108">
        <v>40.849182009592511</v>
      </c>
      <c r="R108" t="s">
        <v>1013</v>
      </c>
      <c r="S108">
        <v>0.87373002851439907</v>
      </c>
      <c r="T108">
        <v>1.0895289215120125</v>
      </c>
      <c r="U108">
        <v>1.799620167671763E-3</v>
      </c>
      <c r="V108">
        <v>0.21787628904830852</v>
      </c>
      <c r="W108">
        <v>4.2081889311702978E-3</v>
      </c>
      <c r="X108">
        <v>0</v>
      </c>
      <c r="Y108">
        <v>-0.30069104606062602</v>
      </c>
      <c r="Z108">
        <v>0</v>
      </c>
      <c r="AA108">
        <v>8.7185258873460333E-2</v>
      </c>
      <c r="AB108">
        <v>4.4389593031354142</v>
      </c>
      <c r="AC108">
        <v>150.03673394940989</v>
      </c>
      <c r="AD108">
        <v>1369.9829872645523</v>
      </c>
      <c r="AE108">
        <v>1.0528891746602989</v>
      </c>
      <c r="AF108">
        <v>91.319714085202506</v>
      </c>
      <c r="AG108">
        <v>45.678584641252726</v>
      </c>
      <c r="AH108">
        <v>124.69857804527285</v>
      </c>
      <c r="AI108">
        <v>6.2184219547271482</v>
      </c>
      <c r="AJ108">
        <v>4.9867625214374929</v>
      </c>
      <c r="AK108">
        <v>0.62192699450576494</v>
      </c>
      <c r="AL108">
        <v>-0.2302431138296015</v>
      </c>
      <c r="AM108">
        <v>-0.43747390331714087</v>
      </c>
      <c r="AN108">
        <v>0.44843182844685514</v>
      </c>
      <c r="AO108">
        <v>0.17586953094678423</v>
      </c>
      <c r="AP108">
        <v>-12.285640000000001</v>
      </c>
      <c r="AQ108" t="s">
        <v>330</v>
      </c>
      <c r="AR108" t="s">
        <v>330</v>
      </c>
      <c r="AS108">
        <v>-12.285640000000001</v>
      </c>
      <c r="AT108">
        <v>1.7186461651275238</v>
      </c>
      <c r="AU108">
        <v>2.7637430909898386</v>
      </c>
      <c r="AV108">
        <v>2.7637430909898386</v>
      </c>
      <c r="AW108">
        <v>0.375</v>
      </c>
    </row>
    <row r="109" spans="2:49" ht="15" customHeight="1" x14ac:dyDescent="0.2">
      <c r="B109" t="s">
        <v>304</v>
      </c>
      <c r="C109" t="s">
        <v>343</v>
      </c>
      <c r="N109" t="s">
        <v>89</v>
      </c>
      <c r="O109">
        <v>96.974320446329969</v>
      </c>
      <c r="P109">
        <v>12.762896255872953</v>
      </c>
      <c r="Q109">
        <v>62.073386728134054</v>
      </c>
      <c r="R109" t="s">
        <v>1013</v>
      </c>
      <c r="S109">
        <v>5.9122227381574177E-6</v>
      </c>
      <c r="T109">
        <v>4.0980003191850771E-6</v>
      </c>
      <c r="U109">
        <v>3.0857974564312218E-6</v>
      </c>
      <c r="V109">
        <v>1.1104750781669281E-5</v>
      </c>
      <c r="W109">
        <v>6.1562952223466706E-3</v>
      </c>
      <c r="X109">
        <v>0</v>
      </c>
      <c r="Y109">
        <v>-4.8348142419494595E-4</v>
      </c>
      <c r="Z109">
        <v>0</v>
      </c>
      <c r="AA109">
        <v>9.7192665976838144E-4</v>
      </c>
      <c r="AB109">
        <v>-2.0610400201527632</v>
      </c>
      <c r="AC109">
        <v>134.51899555481745</v>
      </c>
      <c r="AD109">
        <v>96974.320446329977</v>
      </c>
      <c r="AE109">
        <v>5.2741318956437969E-6</v>
      </c>
      <c r="AF109">
        <v>97.25477134956364</v>
      </c>
      <c r="AG109">
        <v>-0.28045090323366456</v>
      </c>
      <c r="AH109">
        <v>69.314038064510484</v>
      </c>
      <c r="AI109">
        <v>29.658961935489515</v>
      </c>
      <c r="AJ109">
        <v>42.789257073561288</v>
      </c>
      <c r="AK109">
        <v>0.45457468473098089</v>
      </c>
      <c r="AL109">
        <v>-0.45109889043167639</v>
      </c>
      <c r="AM109">
        <v>-0.52827728018746711</v>
      </c>
      <c r="AN109">
        <v>-9.2118373932121175E-2</v>
      </c>
      <c r="AO109">
        <v>0.45577974844823982</v>
      </c>
      <c r="AP109">
        <v>2.2815946274260641</v>
      </c>
      <c r="AQ109" t="s">
        <v>330</v>
      </c>
      <c r="AR109" t="s">
        <v>330</v>
      </c>
      <c r="AS109">
        <v>2.2815946274260641</v>
      </c>
      <c r="AT109">
        <v>0</v>
      </c>
      <c r="AU109">
        <v>0</v>
      </c>
      <c r="AV109">
        <v>0</v>
      </c>
      <c r="AW109">
        <v>0</v>
      </c>
    </row>
    <row r="110" spans="2:49" ht="15" customHeight="1" x14ac:dyDescent="0.2">
      <c r="B110" t="s">
        <v>574</v>
      </c>
      <c r="C110" t="s">
        <v>575</v>
      </c>
      <c r="N110" t="s">
        <v>89</v>
      </c>
      <c r="O110">
        <v>103.78452126780039</v>
      </c>
      <c r="P110">
        <v>205.427788188688</v>
      </c>
      <c r="Q110">
        <v>50.459938482122901</v>
      </c>
      <c r="R110" t="s">
        <v>1013</v>
      </c>
      <c r="S110">
        <v>0.50102748360864169</v>
      </c>
      <c r="T110">
        <v>0.4181561508497299</v>
      </c>
      <c r="U110">
        <v>5.7655774054355792E-3</v>
      </c>
      <c r="V110">
        <v>0.39388598833406829</v>
      </c>
      <c r="W110">
        <v>1.5260051264476715E-3</v>
      </c>
      <c r="X110">
        <v>1.2901001085782238</v>
      </c>
      <c r="Y110">
        <v>-0.54187739860317441</v>
      </c>
      <c r="Z110">
        <v>0</v>
      </c>
      <c r="AA110">
        <v>6.195661286442216E-2</v>
      </c>
      <c r="AB110">
        <v>-4.1860565324470285</v>
      </c>
      <c r="AC110">
        <v>141.96485349919092</v>
      </c>
      <c r="AD110">
        <v>1037.8452126780039</v>
      </c>
      <c r="AE110">
        <v>0.90343260453689678</v>
      </c>
      <c r="AF110">
        <v>89.940768281081915</v>
      </c>
      <c r="AG110">
        <v>13.843752986718483</v>
      </c>
      <c r="AH110">
        <v>83.459723174858098</v>
      </c>
      <c r="AI110">
        <v>24.669276825141907</v>
      </c>
      <c r="AJ110">
        <v>29.558301761266115</v>
      </c>
      <c r="AK110">
        <v>1.9805006409489763</v>
      </c>
      <c r="AL110">
        <v>-1.4583503395658681</v>
      </c>
      <c r="AM110">
        <v>-2.3285119333868352</v>
      </c>
      <c r="AN110">
        <v>-0.75466252802719924</v>
      </c>
      <c r="AO110">
        <v>1.3487134252290023</v>
      </c>
      <c r="AP110">
        <v>-0.36254915030053025</v>
      </c>
      <c r="AQ110" t="s">
        <v>330</v>
      </c>
      <c r="AR110" t="s">
        <v>330</v>
      </c>
      <c r="AS110">
        <v>-0.36254900000000001</v>
      </c>
      <c r="AT110">
        <v>2.6588611750779156</v>
      </c>
      <c r="AU110">
        <v>0</v>
      </c>
      <c r="AV110">
        <v>56.97475950336375</v>
      </c>
      <c r="AW110">
        <v>0</v>
      </c>
    </row>
    <row r="111" spans="2:49" ht="15" customHeight="1" x14ac:dyDescent="0.2">
      <c r="B111" t="s">
        <v>576</v>
      </c>
      <c r="C111" t="s">
        <v>577</v>
      </c>
      <c r="N111" t="s">
        <v>89</v>
      </c>
      <c r="O111">
        <v>97.154128982089588</v>
      </c>
      <c r="P111">
        <v>302.79537822857066</v>
      </c>
      <c r="Q111">
        <v>34.77248308211832</v>
      </c>
      <c r="R111" t="s">
        <v>1013</v>
      </c>
      <c r="S111">
        <v>0.39444013469384115</v>
      </c>
      <c r="T111">
        <v>0.30597344660846176</v>
      </c>
      <c r="U111">
        <v>1.055077417550873E-2</v>
      </c>
      <c r="V111">
        <v>0.42749615480867648</v>
      </c>
      <c r="W111">
        <v>4.3923887604933043E-3</v>
      </c>
      <c r="X111">
        <v>-0.16362716823012827</v>
      </c>
      <c r="Y111">
        <v>-0.57619387000348687</v>
      </c>
      <c r="Z111">
        <v>0</v>
      </c>
      <c r="AA111">
        <v>0.11451272814143926</v>
      </c>
      <c r="AB111">
        <v>-2.4331143129760271</v>
      </c>
      <c r="AC111">
        <v>0</v>
      </c>
      <c r="AD111">
        <v>971.54128982089594</v>
      </c>
      <c r="AE111">
        <v>1.8094259306784433</v>
      </c>
      <c r="AF111">
        <v>91.901047930704578</v>
      </c>
      <c r="AG111">
        <v>5.2530810513850152</v>
      </c>
      <c r="AH111">
        <v>77.571580500030521</v>
      </c>
      <c r="AI111">
        <v>21.94641949996948</v>
      </c>
      <c r="AJ111">
        <v>28.291829763557342</v>
      </c>
      <c r="AK111">
        <v>2.3323395910975742</v>
      </c>
      <c r="AL111">
        <v>-1.6648318841367313</v>
      </c>
      <c r="AM111">
        <v>-2.498944120015949</v>
      </c>
      <c r="AN111">
        <v>-0.3952797823014409</v>
      </c>
      <c r="AO111">
        <v>1.6728952391896255</v>
      </c>
      <c r="AP111">
        <v>3.9545593374064474</v>
      </c>
      <c r="AQ111" t="s">
        <v>330</v>
      </c>
      <c r="AR111" t="s">
        <v>330</v>
      </c>
      <c r="AS111">
        <v>3.9545590000000002</v>
      </c>
      <c r="AT111">
        <v>3.768162543459475</v>
      </c>
      <c r="AU111">
        <v>0</v>
      </c>
      <c r="AV111">
        <v>0</v>
      </c>
      <c r="AW111">
        <v>0</v>
      </c>
    </row>
    <row r="112" spans="2:49" ht="15" customHeight="1" x14ac:dyDescent="0.2">
      <c r="B112" t="s">
        <v>578</v>
      </c>
      <c r="C112" t="s">
        <v>579</v>
      </c>
      <c r="N112" t="s">
        <v>89</v>
      </c>
      <c r="O112">
        <v>90.116368548635194</v>
      </c>
      <c r="P112">
        <v>41.964937011659892</v>
      </c>
      <c r="Q112">
        <v>91.751898174518971</v>
      </c>
      <c r="R112" t="s">
        <v>1013</v>
      </c>
      <c r="S112">
        <v>0.28867859241452731</v>
      </c>
      <c r="T112">
        <v>0.13345704354612284</v>
      </c>
      <c r="U112">
        <v>3.9096288054013256E-3</v>
      </c>
      <c r="V112">
        <v>0.19912976970778687</v>
      </c>
      <c r="W112">
        <v>3.2763728511667977E-3</v>
      </c>
      <c r="X112">
        <v>0</v>
      </c>
      <c r="Y112">
        <v>-0.2093018772521254</v>
      </c>
      <c r="Z112">
        <v>0</v>
      </c>
      <c r="AA112">
        <v>1.3514967891510535E-2</v>
      </c>
      <c r="AB112">
        <v>-8.0436346560644694</v>
      </c>
      <c r="AC112">
        <v>146.78938898550425</v>
      </c>
      <c r="AD112">
        <v>901.16368548635194</v>
      </c>
      <c r="AE112">
        <v>0.20696355416635681</v>
      </c>
      <c r="AF112">
        <v>86.01287881873975</v>
      </c>
      <c r="AG112">
        <v>4.1034897298954434</v>
      </c>
      <c r="AH112">
        <v>46.303988672103884</v>
      </c>
      <c r="AI112">
        <v>51.082467354812607</v>
      </c>
      <c r="AJ112">
        <v>110.37094220064108</v>
      </c>
      <c r="AK112">
        <v>2.0020856644124758</v>
      </c>
      <c r="AL112">
        <v>-1.6846416499450356</v>
      </c>
      <c r="AM112">
        <v>-2.1473761722244262</v>
      </c>
      <c r="AN112">
        <v>2.5799476368726485E-2</v>
      </c>
      <c r="AO112">
        <v>1.7302332973296728</v>
      </c>
      <c r="AP112">
        <v>1.2876007595912675</v>
      </c>
      <c r="AQ112" t="s">
        <v>330</v>
      </c>
      <c r="AR112" t="s">
        <v>330</v>
      </c>
      <c r="AS112">
        <v>1.287601</v>
      </c>
      <c r="AT112">
        <v>0</v>
      </c>
      <c r="AU112">
        <v>0</v>
      </c>
      <c r="AV112">
        <v>0</v>
      </c>
      <c r="AW112">
        <v>0</v>
      </c>
    </row>
    <row r="113" spans="2:49" ht="15" customHeight="1" x14ac:dyDescent="0.2">
      <c r="B113" t="s">
        <v>580</v>
      </c>
      <c r="C113" t="s">
        <v>581</v>
      </c>
      <c r="N113" t="s">
        <v>89</v>
      </c>
      <c r="O113">
        <v>128.41481704047757</v>
      </c>
      <c r="P113">
        <v>293.33243289023682</v>
      </c>
      <c r="Q113">
        <v>64.119192871932199</v>
      </c>
      <c r="R113" t="s">
        <v>1013</v>
      </c>
      <c r="S113">
        <v>0.80327731672374114</v>
      </c>
      <c r="T113">
        <v>0.83446056294444371</v>
      </c>
      <c r="U113">
        <v>2.3678208622768889E-3</v>
      </c>
      <c r="V113">
        <v>0.47642637399280829</v>
      </c>
      <c r="W113">
        <v>-1.2187282719651193E-3</v>
      </c>
      <c r="X113">
        <v>0</v>
      </c>
      <c r="Y113">
        <v>-1.7367676435846524</v>
      </c>
      <c r="Z113">
        <v>0</v>
      </c>
      <c r="AA113">
        <v>0.12055525802120619</v>
      </c>
      <c r="AB113">
        <v>-2.5239945313326122</v>
      </c>
      <c r="AC113">
        <v>147.43958086065896</v>
      </c>
      <c r="AD113">
        <v>1284.1481704047758</v>
      </c>
      <c r="AE113">
        <v>1.2921200675648432</v>
      </c>
      <c r="AF113">
        <v>73.261537762086817</v>
      </c>
      <c r="AG113">
        <v>55.153279278390755</v>
      </c>
      <c r="AH113">
        <v>103.99932212860108</v>
      </c>
      <c r="AI113">
        <v>27.656677871398927</v>
      </c>
      <c r="AJ113">
        <v>26.593132825615797</v>
      </c>
      <c r="AK113">
        <v>3.5727117824394323</v>
      </c>
      <c r="AL113">
        <v>-1.9474295759245024</v>
      </c>
      <c r="AM113">
        <v>-3.2698958792191206</v>
      </c>
      <c r="AN113">
        <v>-0.25428691722847102</v>
      </c>
      <c r="AO113">
        <v>1.4791802697366641</v>
      </c>
      <c r="AP113">
        <v>-4.015803</v>
      </c>
      <c r="AQ113" t="s">
        <v>330</v>
      </c>
      <c r="AR113" t="s">
        <v>330</v>
      </c>
      <c r="AS113">
        <v>-4.015803</v>
      </c>
      <c r="AT113">
        <v>0.94944400559032638</v>
      </c>
      <c r="AU113">
        <v>22.125342297119133</v>
      </c>
      <c r="AV113">
        <v>22.125342297119133</v>
      </c>
      <c r="AW113">
        <v>0.20833333333333334</v>
      </c>
    </row>
    <row r="114" spans="2:49" ht="15" customHeight="1" x14ac:dyDescent="0.2">
      <c r="B114" t="s">
        <v>582</v>
      </c>
      <c r="C114" t="s">
        <v>583</v>
      </c>
      <c r="N114" t="s">
        <v>89</v>
      </c>
      <c r="O114">
        <v>106.67990009284578</v>
      </c>
      <c r="P114">
        <v>321.15578749090145</v>
      </c>
      <c r="Q114">
        <v>45.31536188617455</v>
      </c>
      <c r="R114" t="s">
        <v>1013</v>
      </c>
      <c r="S114">
        <v>0.47204127958391312</v>
      </c>
      <c r="T114">
        <v>0.38729990259582925</v>
      </c>
      <c r="U114">
        <v>8.0729137462998563E-3</v>
      </c>
      <c r="V114">
        <v>0.39878195423463331</v>
      </c>
      <c r="W114">
        <v>-2.594480318381102E-3</v>
      </c>
      <c r="X114">
        <v>0.10015552035475613</v>
      </c>
      <c r="Y114">
        <v>-0.52465023234031083</v>
      </c>
      <c r="Z114">
        <v>-0.33925856395683235</v>
      </c>
      <c r="AA114">
        <v>7.8535047317417631E-2</v>
      </c>
      <c r="AB114">
        <v>-1.222442002682065</v>
      </c>
      <c r="AC114">
        <v>150.04025809186842</v>
      </c>
      <c r="AD114">
        <v>213359.80018569157</v>
      </c>
      <c r="AE114">
        <v>4.2528206289653188</v>
      </c>
      <c r="AF114">
        <v>97.141235123755465</v>
      </c>
      <c r="AG114">
        <v>9.5386649690903145</v>
      </c>
      <c r="AH114">
        <v>82.047888467978865</v>
      </c>
      <c r="AI114">
        <v>25.726682403789496</v>
      </c>
      <c r="AJ114">
        <v>31.275858678103425</v>
      </c>
      <c r="AK114">
        <v>2.1925768099165186</v>
      </c>
      <c r="AL114">
        <v>-1.062602503444432</v>
      </c>
      <c r="AM114">
        <v>-1.818098550959403</v>
      </c>
      <c r="AN114">
        <v>-1.3715422024324062</v>
      </c>
      <c r="AO114">
        <v>0.98403699015079282</v>
      </c>
      <c r="AP114">
        <v>-0.33310299999999998</v>
      </c>
      <c r="AQ114" t="s">
        <v>330</v>
      </c>
      <c r="AR114">
        <v>-3.7130510000000001</v>
      </c>
      <c r="AS114">
        <v>-0.33310299999999998</v>
      </c>
      <c r="AT114">
        <v>0</v>
      </c>
      <c r="AU114">
        <v>0</v>
      </c>
      <c r="AV114">
        <v>0</v>
      </c>
      <c r="AW114">
        <v>0</v>
      </c>
    </row>
    <row r="115" spans="2:49" ht="15" customHeight="1" x14ac:dyDescent="0.2">
      <c r="B115" t="s">
        <v>584</v>
      </c>
      <c r="C115" t="s">
        <v>585</v>
      </c>
      <c r="N115" t="s">
        <v>89</v>
      </c>
      <c r="O115">
        <v>83.556019341411982</v>
      </c>
      <c r="P115">
        <v>176.45524671802369</v>
      </c>
      <c r="Q115">
        <v>59.990776373005041</v>
      </c>
      <c r="R115" t="s">
        <v>1013</v>
      </c>
      <c r="S115">
        <v>0.45449710190882936</v>
      </c>
      <c r="T115">
        <v>0.249629762685072</v>
      </c>
      <c r="U115">
        <v>4.8659351520937248E-3</v>
      </c>
      <c r="V115">
        <v>0.41455393792211909</v>
      </c>
      <c r="W115">
        <v>5.7881989812131E-3</v>
      </c>
      <c r="X115">
        <v>0.26698934890709913</v>
      </c>
      <c r="Y115">
        <v>-0.87858521282429458</v>
      </c>
      <c r="Z115">
        <v>0</v>
      </c>
      <c r="AA115">
        <v>0.13548843255928372</v>
      </c>
      <c r="AB115">
        <v>-10.656300681589586</v>
      </c>
      <c r="AC115">
        <v>141.63008229944666</v>
      </c>
      <c r="AD115">
        <v>835.56019341411991</v>
      </c>
      <c r="AE115">
        <v>0.28956007688807345</v>
      </c>
      <c r="AF115">
        <v>74.195066115885581</v>
      </c>
      <c r="AG115">
        <v>9.3609532255264067</v>
      </c>
      <c r="AH115">
        <v>54.924390416717529</v>
      </c>
      <c r="AI115">
        <v>37.535609583282465</v>
      </c>
      <c r="AJ115">
        <v>68.340511926478513</v>
      </c>
      <c r="AK115">
        <v>4.5899804031613929</v>
      </c>
      <c r="AL115">
        <v>-3.2663454730287071</v>
      </c>
      <c r="AM115">
        <v>-4.3281738648831833</v>
      </c>
      <c r="AN115">
        <v>0.31820553345260677</v>
      </c>
      <c r="AO115">
        <v>3.5327119543896899</v>
      </c>
      <c r="AP115">
        <v>3.0305049999999998</v>
      </c>
      <c r="AQ115" t="s">
        <v>330</v>
      </c>
      <c r="AR115" t="s">
        <v>330</v>
      </c>
      <c r="AS115">
        <v>3.0305049999999998</v>
      </c>
      <c r="AT115">
        <v>1.6223231667748215</v>
      </c>
      <c r="AU115">
        <v>131.69553205333688</v>
      </c>
      <c r="AV115">
        <v>48.356758857605811</v>
      </c>
      <c r="AW115">
        <v>0.18333333333333332</v>
      </c>
    </row>
    <row r="116" spans="2:49" ht="15" customHeight="1" x14ac:dyDescent="0.2">
      <c r="B116" t="s">
        <v>586</v>
      </c>
      <c r="C116" t="s">
        <v>587</v>
      </c>
      <c r="N116" t="s">
        <v>89</v>
      </c>
      <c r="O116">
        <v>113.67501294927725</v>
      </c>
      <c r="P116">
        <v>341.79844181483634</v>
      </c>
      <c r="Q116">
        <v>52.885412681996968</v>
      </c>
      <c r="R116" t="s">
        <v>1013</v>
      </c>
      <c r="S116">
        <v>0.71563008097329694</v>
      </c>
      <c r="T116">
        <v>0.66462308023386585</v>
      </c>
      <c r="U116">
        <v>4.2784391157102905E-3</v>
      </c>
      <c r="V116">
        <v>0.60090997285507231</v>
      </c>
      <c r="W116">
        <v>-3.3430746267413269E-3</v>
      </c>
      <c r="X116">
        <v>0</v>
      </c>
      <c r="Y116">
        <v>-1.5449918909342184</v>
      </c>
      <c r="Z116">
        <v>0</v>
      </c>
      <c r="AA116">
        <v>0.13342819547493079</v>
      </c>
      <c r="AB116">
        <v>-1.4638107421771203</v>
      </c>
      <c r="AC116">
        <v>145.26069529271857</v>
      </c>
      <c r="AD116">
        <v>1136.7501294927724</v>
      </c>
      <c r="AE116">
        <v>10.913943592475292</v>
      </c>
      <c r="AF116">
        <v>82.514852579452665</v>
      </c>
      <c r="AG116">
        <v>31.160160369824574</v>
      </c>
      <c r="AH116">
        <v>92.796120435562131</v>
      </c>
      <c r="AI116">
        <v>22.466565217781067</v>
      </c>
      <c r="AJ116">
        <v>24.190778749866958</v>
      </c>
      <c r="AK116">
        <v>3.5316780819945488</v>
      </c>
      <c r="AL116">
        <v>-1.535889609662604</v>
      </c>
      <c r="AM116">
        <v>-2.8960612073731227</v>
      </c>
      <c r="AN116">
        <v>-1.3250856735999529E-3</v>
      </c>
      <c r="AO116">
        <v>1.3316307664039087</v>
      </c>
      <c r="AP116">
        <v>-3.036508</v>
      </c>
      <c r="AQ116" t="s">
        <v>330</v>
      </c>
      <c r="AR116">
        <v>-5.2859259999999999</v>
      </c>
      <c r="AS116">
        <v>-3.036508</v>
      </c>
      <c r="AT116">
        <v>0</v>
      </c>
      <c r="AU116">
        <v>0</v>
      </c>
      <c r="AV116">
        <v>0</v>
      </c>
      <c r="AW116">
        <v>0</v>
      </c>
    </row>
    <row r="117" spans="2:49" ht="15" customHeight="1" x14ac:dyDescent="0.2">
      <c r="B117" t="s">
        <v>588</v>
      </c>
      <c r="C117" t="s">
        <v>589</v>
      </c>
      <c r="N117" t="s">
        <v>89</v>
      </c>
      <c r="O117">
        <v>107.47836095715688</v>
      </c>
      <c r="P117" t="s">
        <v>330</v>
      </c>
      <c r="Q117">
        <v>34.60126678958229</v>
      </c>
      <c r="R117" t="s">
        <v>1013</v>
      </c>
      <c r="S117" t="s">
        <v>330</v>
      </c>
      <c r="T117" t="s">
        <v>330</v>
      </c>
      <c r="U117" t="s">
        <v>330</v>
      </c>
      <c r="V117" t="s">
        <v>330</v>
      </c>
      <c r="W117" t="s">
        <v>330</v>
      </c>
      <c r="X117" t="s">
        <v>330</v>
      </c>
      <c r="Y117" t="s">
        <v>330</v>
      </c>
      <c r="Z117" t="s">
        <v>330</v>
      </c>
      <c r="AA117" t="s">
        <v>330</v>
      </c>
      <c r="AB117">
        <v>-3.9651135399635398</v>
      </c>
      <c r="AC117">
        <v>0</v>
      </c>
      <c r="AD117">
        <v>107478.36095715688</v>
      </c>
      <c r="AE117">
        <v>0.73928625557317729</v>
      </c>
      <c r="AF117">
        <v>84.383055571517829</v>
      </c>
      <c r="AG117">
        <v>23.095305385639048</v>
      </c>
      <c r="AH117">
        <v>94.998906402027259</v>
      </c>
      <c r="AI117">
        <v>16.741704590212436</v>
      </c>
      <c r="AJ117">
        <v>17.623163150449077</v>
      </c>
      <c r="AK117">
        <v>4.286514003686114</v>
      </c>
      <c r="AL117">
        <v>-2.081206014798954</v>
      </c>
      <c r="AM117">
        <v>-5.7788706569343047</v>
      </c>
      <c r="AN117">
        <v>0.19393671282173272</v>
      </c>
      <c r="AO117">
        <v>1.9363953788135699</v>
      </c>
      <c r="AP117">
        <v>-2.4975010000000002</v>
      </c>
      <c r="AQ117" t="s">
        <v>330</v>
      </c>
      <c r="AR117" t="s">
        <v>330</v>
      </c>
      <c r="AS117">
        <v>-2.4975010000000002</v>
      </c>
      <c r="AT117">
        <v>0</v>
      </c>
      <c r="AU117">
        <v>0</v>
      </c>
      <c r="AV117">
        <v>0</v>
      </c>
      <c r="AW117">
        <v>0</v>
      </c>
    </row>
    <row r="118" spans="2:49" ht="15" customHeight="1" x14ac:dyDescent="0.2">
      <c r="B118" t="s">
        <v>590</v>
      </c>
      <c r="C118" t="s">
        <v>591</v>
      </c>
      <c r="N118" t="s">
        <v>89</v>
      </c>
      <c r="O118">
        <v>102.30606483592953</v>
      </c>
      <c r="P118">
        <v>2.8757732105192795</v>
      </c>
      <c r="Q118">
        <v>23.319578372263294</v>
      </c>
      <c r="R118" t="s">
        <v>1013</v>
      </c>
      <c r="S118">
        <v>0.56702563295297981</v>
      </c>
      <c r="T118">
        <v>0.52690387535198202</v>
      </c>
      <c r="U118">
        <v>1.2612657676653411E-2</v>
      </c>
      <c r="V118">
        <v>0.56034734738135017</v>
      </c>
      <c r="W118">
        <v>-3.1994661786302457E-4</v>
      </c>
      <c r="X118">
        <v>-1.8992141752463183E-2</v>
      </c>
      <c r="Y118">
        <v>-1.1728438162853931</v>
      </c>
      <c r="Z118">
        <v>-0.50572897136045869</v>
      </c>
      <c r="AA118">
        <v>1.0439738912185366E-3</v>
      </c>
      <c r="AB118">
        <v>-1.7613180283693723</v>
      </c>
      <c r="AC118">
        <v>0</v>
      </c>
      <c r="AD118">
        <v>102306.06483592953</v>
      </c>
      <c r="AE118">
        <v>54.68926214972236</v>
      </c>
      <c r="AF118">
        <v>91.122956622850751</v>
      </c>
      <c r="AG118">
        <v>11.183108213078798</v>
      </c>
      <c r="AH118">
        <v>92.925367463757865</v>
      </c>
      <c r="AI118">
        <v>11.183233031993396</v>
      </c>
      <c r="AJ118">
        <v>12.034717327667565</v>
      </c>
      <c r="AK118">
        <v>2.4035588289509446</v>
      </c>
      <c r="AL118">
        <v>-1.2143951251567342</v>
      </c>
      <c r="AM118">
        <v>-3.0378845983471545</v>
      </c>
      <c r="AN118">
        <v>-0.5390537244704815</v>
      </c>
      <c r="AO118">
        <v>1.1664762795911305</v>
      </c>
      <c r="AP118">
        <v>-1.659643</v>
      </c>
      <c r="AQ118" t="s">
        <v>330</v>
      </c>
      <c r="AR118" t="s">
        <v>330</v>
      </c>
      <c r="AS118">
        <v>-1.659643</v>
      </c>
      <c r="AT118">
        <v>0</v>
      </c>
      <c r="AU118">
        <v>0</v>
      </c>
      <c r="AV118">
        <v>0</v>
      </c>
      <c r="AW118">
        <v>0</v>
      </c>
    </row>
    <row r="119" spans="2:49" ht="15" customHeight="1" x14ac:dyDescent="0.2">
      <c r="B119" t="s">
        <v>592</v>
      </c>
      <c r="C119" t="s">
        <v>593</v>
      </c>
      <c r="N119" t="s">
        <v>89</v>
      </c>
      <c r="O119">
        <v>172.96550165187693</v>
      </c>
      <c r="P119">
        <v>102.72028368740075</v>
      </c>
      <c r="Q119">
        <v>27.440418821752203</v>
      </c>
      <c r="R119" t="s">
        <v>1013</v>
      </c>
      <c r="S119">
        <v>0.93129202724508631</v>
      </c>
      <c r="T119">
        <v>1.6189112922254498</v>
      </c>
      <c r="U119">
        <v>2.4365142353749416E-3</v>
      </c>
      <c r="V119">
        <v>0.20370833732043683</v>
      </c>
      <c r="W119">
        <v>6.4749181972001684E-4</v>
      </c>
      <c r="X119">
        <v>-3.9282160248228157E-3</v>
      </c>
      <c r="Y119">
        <v>-1.1688415804383079</v>
      </c>
      <c r="Z119">
        <v>-0.93916639309982297</v>
      </c>
      <c r="AA119">
        <v>1.2126224170440758E-2</v>
      </c>
      <c r="AB119">
        <v>0.67845994760204176</v>
      </c>
      <c r="AC119">
        <v>0</v>
      </c>
      <c r="AD119">
        <v>172965.50165187696</v>
      </c>
      <c r="AE119">
        <v>2.007267751050561</v>
      </c>
      <c r="AF119">
        <v>95.073715867140237</v>
      </c>
      <c r="AG119">
        <v>77.891785784736683</v>
      </c>
      <c r="AH119">
        <v>173.83721424473578</v>
      </c>
      <c r="AI119">
        <v>-2.0440961982981776</v>
      </c>
      <c r="AJ119">
        <v>-1.1758755764777631</v>
      </c>
      <c r="AK119">
        <v>1.2613418995061518</v>
      </c>
      <c r="AL119">
        <v>-0.12708114159613615</v>
      </c>
      <c r="AM119">
        <v>-2.9644861153906095</v>
      </c>
      <c r="AN119">
        <v>5.0802720805495725E-3</v>
      </c>
      <c r="AO119">
        <v>7.3973841387338257E-2</v>
      </c>
      <c r="AP119">
        <v>-29.615010999999999</v>
      </c>
      <c r="AQ119" t="s">
        <v>330</v>
      </c>
      <c r="AR119">
        <v>-33.581307627829005</v>
      </c>
      <c r="AS119">
        <v>-29.615010999999999</v>
      </c>
      <c r="AT119">
        <v>0</v>
      </c>
      <c r="AU119">
        <v>0</v>
      </c>
      <c r="AV119">
        <v>0</v>
      </c>
      <c r="AW119">
        <v>0</v>
      </c>
    </row>
    <row r="120" spans="2:49" ht="15" customHeight="1" x14ac:dyDescent="0.2">
      <c r="B120" t="s">
        <v>594</v>
      </c>
      <c r="C120" t="s">
        <v>595</v>
      </c>
      <c r="N120" t="s">
        <v>89</v>
      </c>
      <c r="O120">
        <v>113.53379057785607</v>
      </c>
      <c r="P120">
        <v>42.321534185713567</v>
      </c>
      <c r="Q120">
        <v>38.775584432654036</v>
      </c>
      <c r="R120" t="s">
        <v>1013</v>
      </c>
      <c r="S120">
        <v>0.62639328716169418</v>
      </c>
      <c r="T120">
        <v>0.58214824620187378</v>
      </c>
      <c r="U120">
        <v>4.7468303000187942E-3</v>
      </c>
      <c r="V120">
        <v>0.71396102781889204</v>
      </c>
      <c r="W120">
        <v>-3.227209648670396E-3</v>
      </c>
      <c r="X120">
        <v>-0.66561070100913666</v>
      </c>
      <c r="Y120">
        <v>-2.0823568221223154</v>
      </c>
      <c r="Z120">
        <v>0</v>
      </c>
      <c r="AA120">
        <v>2.6340420198025394E-2</v>
      </c>
      <c r="AB120">
        <v>-1.1707610706721046</v>
      </c>
      <c r="AC120">
        <v>0</v>
      </c>
      <c r="AD120">
        <v>113533.79057785607</v>
      </c>
      <c r="AE120">
        <v>6.6348486951070831E-2</v>
      </c>
      <c r="AF120">
        <v>87.858497295216694</v>
      </c>
      <c r="AG120">
        <v>25.675293282639348</v>
      </c>
      <c r="AH120">
        <v>92.862392580821137</v>
      </c>
      <c r="AI120">
        <v>21.990017739721139</v>
      </c>
      <c r="AJ120">
        <v>23.677518697626791</v>
      </c>
      <c r="AK120">
        <v>4.4180842403729539</v>
      </c>
      <c r="AL120">
        <v>-2.8573456283038103</v>
      </c>
      <c r="AM120">
        <v>-6.3599686574256342</v>
      </c>
      <c r="AN120">
        <v>-0.2071969602442304</v>
      </c>
      <c r="AO120">
        <v>2.4876118752808218</v>
      </c>
      <c r="AP120">
        <v>-2.9973631533615097</v>
      </c>
      <c r="AQ120" t="s">
        <v>330</v>
      </c>
      <c r="AR120" t="s">
        <v>330</v>
      </c>
      <c r="AS120">
        <v>-2.9973631533615097</v>
      </c>
      <c r="AT120">
        <v>0</v>
      </c>
      <c r="AU120">
        <v>0</v>
      </c>
      <c r="AV120">
        <v>0</v>
      </c>
      <c r="AW120">
        <v>0</v>
      </c>
    </row>
    <row r="121" spans="2:49" ht="15" customHeight="1" x14ac:dyDescent="0.2">
      <c r="B121" t="s">
        <v>596</v>
      </c>
      <c r="C121" t="s">
        <v>597</v>
      </c>
      <c r="N121" t="s">
        <v>89</v>
      </c>
      <c r="O121">
        <v>152.66434815370252</v>
      </c>
      <c r="P121">
        <v>490.75122185128458</v>
      </c>
      <c r="Q121">
        <v>45.229041823051432</v>
      </c>
      <c r="R121" t="s">
        <v>1013</v>
      </c>
      <c r="S121">
        <v>0.90343849628930095</v>
      </c>
      <c r="T121">
        <v>1.2435747627072573</v>
      </c>
      <c r="U121">
        <v>2.2358347891020293E-3</v>
      </c>
      <c r="V121">
        <v>0.61724245666624711</v>
      </c>
      <c r="W121">
        <v>5.174408303696509E-3</v>
      </c>
      <c r="X121">
        <v>0.133796503032201</v>
      </c>
      <c r="Y121">
        <v>-1.6222157649625237</v>
      </c>
      <c r="Z121">
        <v>0</v>
      </c>
      <c r="AA121">
        <v>0.11154157857647126</v>
      </c>
      <c r="AB121">
        <v>1.5755794871510065</v>
      </c>
      <c r="AC121">
        <v>145.07649441758454</v>
      </c>
      <c r="AD121">
        <v>1526.6434815370251</v>
      </c>
      <c r="AE121">
        <v>1.1599966186765198</v>
      </c>
      <c r="AF121">
        <v>83.961384924394409</v>
      </c>
      <c r="AG121">
        <v>68.702963229308097</v>
      </c>
      <c r="AH121">
        <v>137.64907825103759</v>
      </c>
      <c r="AI121">
        <v>12.609921748962392</v>
      </c>
      <c r="AJ121">
        <v>9.1609198617117062</v>
      </c>
      <c r="AK121">
        <v>2.1479412818598127</v>
      </c>
      <c r="AL121">
        <v>-1.0209384868040843</v>
      </c>
      <c r="AM121">
        <v>-2.7397715807101122</v>
      </c>
      <c r="AN121">
        <v>0.43077029319512383</v>
      </c>
      <c r="AO121">
        <v>0.67945246993796338</v>
      </c>
      <c r="AP121">
        <v>-5.9412471161923053</v>
      </c>
      <c r="AQ121" t="s">
        <v>330</v>
      </c>
      <c r="AR121" t="s">
        <v>330</v>
      </c>
      <c r="AS121">
        <v>-5.9412469999999997</v>
      </c>
      <c r="AT121">
        <v>2.1629320040729674</v>
      </c>
      <c r="AU121">
        <v>5.0128995508407987</v>
      </c>
      <c r="AV121">
        <v>4.8929996871860197</v>
      </c>
      <c r="AW121">
        <v>1.0833333333333335</v>
      </c>
    </row>
    <row r="122" spans="2:49" ht="15" customHeight="1" x14ac:dyDescent="0.2">
      <c r="B122" t="s">
        <v>598</v>
      </c>
      <c r="C122" t="s">
        <v>599</v>
      </c>
      <c r="N122" t="s">
        <v>89</v>
      </c>
      <c r="O122">
        <v>237.14468602257895</v>
      </c>
      <c r="P122">
        <v>3751.8104195691931</v>
      </c>
      <c r="Q122" t="s">
        <v>330</v>
      </c>
      <c r="R122" t="s">
        <v>1013</v>
      </c>
      <c r="S122">
        <v>0.96447990284236362</v>
      </c>
      <c r="T122">
        <v>2.2417208501338344</v>
      </c>
      <c r="U122">
        <v>1.2700835097761113E-3</v>
      </c>
      <c r="V122">
        <v>-3.6361805158094283E-3</v>
      </c>
      <c r="W122">
        <v>9.2551822470340987E-3</v>
      </c>
      <c r="X122">
        <v>0.60365981687559978</v>
      </c>
      <c r="Y122">
        <v>-0.80455215116521261</v>
      </c>
      <c r="Z122">
        <v>0</v>
      </c>
      <c r="AA122">
        <v>0.11477731316758932</v>
      </c>
      <c r="AB122">
        <v>0.8154034800488128</v>
      </c>
      <c r="AC122">
        <v>153.35890417693497</v>
      </c>
      <c r="AD122">
        <v>2371.4468602257894</v>
      </c>
      <c r="AE122">
        <v>2.0910606426095346</v>
      </c>
      <c r="AF122">
        <v>91.66509228566828</v>
      </c>
      <c r="AG122">
        <v>145.47959373691063</v>
      </c>
      <c r="AH122">
        <v>232.42794831985475</v>
      </c>
      <c r="AI122">
        <v>2.7830516801452632</v>
      </c>
      <c r="AJ122">
        <v>1.1973825438218721</v>
      </c>
      <c r="AK122">
        <v>0.86680218817437937</v>
      </c>
      <c r="AL122">
        <v>-0.10673504770625186</v>
      </c>
      <c r="AM122">
        <v>-0.13098598895385294</v>
      </c>
      <c r="AN122">
        <v>-0.16327566704197444</v>
      </c>
      <c r="AO122">
        <v>4.5378425203860304E-2</v>
      </c>
      <c r="AP122">
        <v>-28.234677999999999</v>
      </c>
      <c r="AQ122" t="s">
        <v>330</v>
      </c>
      <c r="AR122" t="s">
        <v>330</v>
      </c>
      <c r="AS122">
        <v>-28.234677999999999</v>
      </c>
      <c r="AT122">
        <v>1.5943131911347683</v>
      </c>
      <c r="AU122">
        <v>1.0731870923690088</v>
      </c>
      <c r="AV122">
        <v>1.0675527474985524</v>
      </c>
      <c r="AW122">
        <v>1.5625</v>
      </c>
    </row>
    <row r="123" spans="2:49" ht="15" customHeight="1" x14ac:dyDescent="0.2">
      <c r="B123" t="s">
        <v>600</v>
      </c>
      <c r="C123" t="s">
        <v>601</v>
      </c>
      <c r="N123" t="s">
        <v>89</v>
      </c>
      <c r="O123">
        <v>96.891352119146632</v>
      </c>
      <c r="P123">
        <v>86.169112787000373</v>
      </c>
      <c r="Q123">
        <v>141.19411309259254</v>
      </c>
      <c r="R123" t="s">
        <v>1013</v>
      </c>
      <c r="S123">
        <v>1.0305035644005543E-13</v>
      </c>
      <c r="T123">
        <v>2.9068981723290518E-14</v>
      </c>
      <c r="U123">
        <v>5.9284843963010072E-14</v>
      </c>
      <c r="V123">
        <v>1.4779288903810084E-13</v>
      </c>
      <c r="W123">
        <v>1.4096530403912766E-2</v>
      </c>
      <c r="X123">
        <v>0</v>
      </c>
      <c r="Y123">
        <v>-1.3285939844235677E-3</v>
      </c>
      <c r="Z123">
        <v>0</v>
      </c>
      <c r="AA123">
        <v>5.3820011925231155E-3</v>
      </c>
      <c r="AB123">
        <v>-1.3609551853831392</v>
      </c>
      <c r="AC123">
        <v>144.87928916894293</v>
      </c>
      <c r="AD123">
        <v>968.91352119146632</v>
      </c>
      <c r="AE123">
        <v>-5.8112320437544393E-14</v>
      </c>
      <c r="AF123">
        <v>97.120244015190551</v>
      </c>
      <c r="AG123">
        <v>-0.2288918960439105</v>
      </c>
      <c r="AH123">
        <v>28.208521277847293</v>
      </c>
      <c r="AI123">
        <v>70.001478722152697</v>
      </c>
      <c r="AJ123">
        <v>248.15720764890372</v>
      </c>
      <c r="AK123">
        <v>0.37160998937059492</v>
      </c>
      <c r="AL123">
        <v>-0.36509395900941399</v>
      </c>
      <c r="AM123">
        <v>-0.43682095175688573</v>
      </c>
      <c r="AN123">
        <v>-0.26298593548539295</v>
      </c>
      <c r="AO123">
        <v>0.37174825273334078</v>
      </c>
      <c r="AP123">
        <v>4.8603332993924528</v>
      </c>
      <c r="AQ123" t="s">
        <v>330</v>
      </c>
      <c r="AR123" t="s">
        <v>330</v>
      </c>
      <c r="AS123">
        <v>4.8603329999999998</v>
      </c>
      <c r="AT123">
        <v>0</v>
      </c>
      <c r="AU123">
        <v>0</v>
      </c>
      <c r="AV123">
        <v>0</v>
      </c>
      <c r="AW123">
        <v>0</v>
      </c>
    </row>
    <row r="124" spans="2:49" ht="15" customHeight="1" x14ac:dyDescent="0.2">
      <c r="B124" t="s">
        <v>602</v>
      </c>
      <c r="C124" t="s">
        <v>603</v>
      </c>
      <c r="N124" t="s">
        <v>89</v>
      </c>
      <c r="O124">
        <v>88.900623637467689</v>
      </c>
      <c r="P124">
        <v>268.32677006805216</v>
      </c>
      <c r="Q124">
        <v>62.438268795335382</v>
      </c>
      <c r="R124" t="s">
        <v>1013</v>
      </c>
      <c r="S124">
        <v>0.33542290030371724</v>
      </c>
      <c r="T124">
        <v>0.14165385453559506</v>
      </c>
      <c r="U124">
        <v>4.2529471872080581E-3</v>
      </c>
      <c r="V124">
        <v>0.25561779439092336</v>
      </c>
      <c r="W124">
        <v>1.019793756109948E-2</v>
      </c>
      <c r="X124">
        <v>0</v>
      </c>
      <c r="Y124">
        <v>-0.38118112280496125</v>
      </c>
      <c r="Z124">
        <v>0</v>
      </c>
      <c r="AA124">
        <v>0.14606253851019482</v>
      </c>
      <c r="AB124">
        <v>-4.6876795595120644</v>
      </c>
      <c r="AC124">
        <v>144.20018391301107</v>
      </c>
      <c r="AD124">
        <v>889.00623637467697</v>
      </c>
      <c r="AE124">
        <v>0.28639788201647032</v>
      </c>
      <c r="AF124">
        <v>84.820795410197135</v>
      </c>
      <c r="AG124">
        <v>4.0798282272705588</v>
      </c>
      <c r="AH124">
        <v>42.23142021827698</v>
      </c>
      <c r="AI124">
        <v>50.836579781723017</v>
      </c>
      <c r="AJ124">
        <v>120.37620217120211</v>
      </c>
      <c r="AK124">
        <v>3.2398802153270458</v>
      </c>
      <c r="AL124">
        <v>-2.5859329696527311</v>
      </c>
      <c r="AM124">
        <v>-3.3038474109006302</v>
      </c>
      <c r="AN124">
        <v>-0.48565730827871861</v>
      </c>
      <c r="AO124">
        <v>2.7785414639325348</v>
      </c>
      <c r="AP124">
        <v>4.5970700000000004</v>
      </c>
      <c r="AQ124" t="s">
        <v>330</v>
      </c>
      <c r="AR124" t="s">
        <v>330</v>
      </c>
      <c r="AS124">
        <v>4.5970700000000004</v>
      </c>
      <c r="AT124">
        <v>2.6862079339837539</v>
      </c>
      <c r="AU124">
        <v>20.334631912689204</v>
      </c>
      <c r="AV124">
        <v>20.334631912689204</v>
      </c>
      <c r="AW124">
        <v>0.93055555555555569</v>
      </c>
    </row>
    <row r="125" spans="2:49" ht="15" customHeight="1" x14ac:dyDescent="0.2">
      <c r="B125" t="s">
        <v>604</v>
      </c>
      <c r="C125" t="s">
        <v>605</v>
      </c>
      <c r="N125" t="s">
        <v>89</v>
      </c>
      <c r="O125">
        <v>104.57866562129772</v>
      </c>
      <c r="P125" t="s">
        <v>330</v>
      </c>
      <c r="Q125">
        <v>67.803510985137095</v>
      </c>
      <c r="R125" t="s">
        <v>1013</v>
      </c>
      <c r="S125" t="s">
        <v>330</v>
      </c>
      <c r="T125" t="s">
        <v>330</v>
      </c>
      <c r="U125" t="s">
        <v>330</v>
      </c>
      <c r="V125" t="s">
        <v>330</v>
      </c>
      <c r="W125" t="s">
        <v>330</v>
      </c>
      <c r="X125" t="s">
        <v>330</v>
      </c>
      <c r="Y125" t="s">
        <v>330</v>
      </c>
      <c r="Z125" t="s">
        <v>330</v>
      </c>
      <c r="AA125" t="s">
        <v>330</v>
      </c>
      <c r="AB125">
        <v>-7.0342591722686256</v>
      </c>
      <c r="AC125">
        <v>143.61907222790956</v>
      </c>
      <c r="AD125">
        <v>1045.7866562129771</v>
      </c>
      <c r="AE125">
        <v>0.73301622649045906</v>
      </c>
      <c r="AF125">
        <v>90.703833309682125</v>
      </c>
      <c r="AG125">
        <v>13.874832311615567</v>
      </c>
      <c r="AH125">
        <v>86.634514390869157</v>
      </c>
      <c r="AI125">
        <v>25.300485609130845</v>
      </c>
      <c r="AJ125">
        <v>29.203702227708671</v>
      </c>
      <c r="AK125">
        <v>1.1992388176719715</v>
      </c>
      <c r="AL125">
        <v>-0.75321379586125659</v>
      </c>
      <c r="AM125">
        <v>-1.3449182148440286</v>
      </c>
      <c r="AN125">
        <v>3.1782445410675597E-2</v>
      </c>
      <c r="AO125">
        <v>0.72023657156690912</v>
      </c>
      <c r="AP125">
        <v>-7.8021510000000003</v>
      </c>
      <c r="AQ125" t="s">
        <v>330</v>
      </c>
      <c r="AR125" t="s">
        <v>330</v>
      </c>
      <c r="AS125">
        <v>-7.8021510000000003</v>
      </c>
      <c r="AT125">
        <v>0.22334390494483403</v>
      </c>
      <c r="AU125">
        <v>101.20194243652345</v>
      </c>
      <c r="AV125">
        <v>101.20194243652345</v>
      </c>
      <c r="AW125">
        <v>3.0555555555555555E-2</v>
      </c>
    </row>
    <row r="126" spans="2:49" ht="15" customHeight="1" x14ac:dyDescent="0.2">
      <c r="B126" t="s">
        <v>606</v>
      </c>
      <c r="C126" t="s">
        <v>607</v>
      </c>
      <c r="N126" t="s">
        <v>89</v>
      </c>
      <c r="O126">
        <v>126.67907430293448</v>
      </c>
      <c r="P126">
        <v>30.345592541735972</v>
      </c>
      <c r="Q126">
        <v>60.539041412685812</v>
      </c>
      <c r="R126" t="s">
        <v>1013</v>
      </c>
      <c r="S126">
        <v>0.65226577701274135</v>
      </c>
      <c r="T126">
        <v>0.7780556160020371</v>
      </c>
      <c r="U126">
        <v>-3.0735398261000869E-3</v>
      </c>
      <c r="V126">
        <v>0.22691302986532946</v>
      </c>
      <c r="W126">
        <v>1.2546952196225902E-2</v>
      </c>
      <c r="X126">
        <v>0</v>
      </c>
      <c r="Y126">
        <v>-0.3825437959602776</v>
      </c>
      <c r="Z126">
        <v>0</v>
      </c>
      <c r="AA126">
        <v>3.4997657090981597E-3</v>
      </c>
      <c r="AB126">
        <v>-4.8736744652092048</v>
      </c>
      <c r="AC126">
        <v>142.34103315472223</v>
      </c>
      <c r="AD126">
        <v>1266.7907430293446</v>
      </c>
      <c r="AE126">
        <v>1.1678221108659868</v>
      </c>
      <c r="AF126">
        <v>84.052333697361661</v>
      </c>
      <c r="AG126">
        <v>42.626740605572813</v>
      </c>
      <c r="AH126">
        <v>119.35646728958132</v>
      </c>
      <c r="AI126">
        <v>13.603638552093514</v>
      </c>
      <c r="AJ126">
        <v>11.407724441389314</v>
      </c>
      <c r="AK126">
        <v>1.0799539794248987</v>
      </c>
      <c r="AL126">
        <v>-0.69717801533056445</v>
      </c>
      <c r="AM126">
        <v>-1.2973454715615844</v>
      </c>
      <c r="AN126">
        <v>-2.5848075390843044E-2</v>
      </c>
      <c r="AO126">
        <v>0.52477400986847456</v>
      </c>
      <c r="AP126">
        <v>-8.9392859999999992</v>
      </c>
      <c r="AQ126" t="s">
        <v>330</v>
      </c>
      <c r="AR126" t="s">
        <v>330</v>
      </c>
      <c r="AS126">
        <v>-8.9392859999999992</v>
      </c>
      <c r="AT126">
        <v>0.75271164369641641</v>
      </c>
      <c r="AU126">
        <v>13.496532710418682</v>
      </c>
      <c r="AV126">
        <v>13.496532710418682</v>
      </c>
      <c r="AW126">
        <v>0.16666666666666666</v>
      </c>
    </row>
    <row r="127" spans="2:49" ht="15" customHeight="1" x14ac:dyDescent="0.2">
      <c r="B127" t="s">
        <v>608</v>
      </c>
      <c r="C127" t="s">
        <v>609</v>
      </c>
      <c r="N127" t="s">
        <v>89</v>
      </c>
      <c r="O127">
        <v>93.999076960712799</v>
      </c>
      <c r="P127">
        <v>246.7225218275089</v>
      </c>
      <c r="Q127">
        <v>35.00472433156601</v>
      </c>
      <c r="R127" t="s">
        <v>1013</v>
      </c>
      <c r="S127">
        <v>0.52771884593051388</v>
      </c>
      <c r="T127">
        <v>0.40754524735187059</v>
      </c>
      <c r="U127">
        <v>9.4876243050389438E-3</v>
      </c>
      <c r="V127">
        <v>0.57820600869707417</v>
      </c>
      <c r="W127">
        <v>1.4155247339396738E-3</v>
      </c>
      <c r="X127">
        <v>-5.8236113961991381E-2</v>
      </c>
      <c r="Y127">
        <v>-1.5342307094341747</v>
      </c>
      <c r="Z127">
        <v>0</v>
      </c>
      <c r="AA127">
        <v>0.13446673019863969</v>
      </c>
      <c r="AB127">
        <v>-4.054213256668457</v>
      </c>
      <c r="AC127">
        <v>0</v>
      </c>
      <c r="AD127">
        <v>1879981.5392142562</v>
      </c>
      <c r="AE127">
        <v>1.4928397338896358</v>
      </c>
      <c r="AF127">
        <v>84.243822085791294</v>
      </c>
      <c r="AG127">
        <v>9.7552548749215209</v>
      </c>
      <c r="AH127">
        <v>77.227722772199996</v>
      </c>
      <c r="AI127">
        <v>20.582279386044561</v>
      </c>
      <c r="AJ127">
        <v>26.651413796000657</v>
      </c>
      <c r="AK127">
        <v>4.3117806410456083</v>
      </c>
      <c r="AL127">
        <v>-1.947532315424527</v>
      </c>
      <c r="AM127">
        <v>-2.8206275141617514</v>
      </c>
      <c r="AN127">
        <v>-0.85734651571440901</v>
      </c>
      <c r="AO127">
        <v>1.9911382429450231</v>
      </c>
      <c r="AP127">
        <v>0.97261467003730451</v>
      </c>
      <c r="AQ127" t="s">
        <v>330</v>
      </c>
      <c r="AR127">
        <v>1.3129385601956118</v>
      </c>
      <c r="AS127">
        <v>1.3129390000000001</v>
      </c>
      <c r="AT127">
        <v>0.51119517431755446</v>
      </c>
      <c r="AU127">
        <v>0</v>
      </c>
      <c r="AV127">
        <v>0</v>
      </c>
      <c r="AW127">
        <v>0.12361111111111112</v>
      </c>
    </row>
    <row r="128" spans="2:49" ht="15" customHeight="1" x14ac:dyDescent="0.2">
      <c r="B128" t="s">
        <v>610</v>
      </c>
      <c r="C128" t="s">
        <v>611</v>
      </c>
      <c r="N128" t="s">
        <v>89</v>
      </c>
      <c r="O128">
        <v>143.26532691534661</v>
      </c>
      <c r="P128">
        <v>301.64623452375366</v>
      </c>
      <c r="Q128">
        <v>45.856637209709724</v>
      </c>
      <c r="R128" t="s">
        <v>1013</v>
      </c>
      <c r="S128">
        <v>0.85888338270020048</v>
      </c>
      <c r="T128">
        <v>1.1486829347101166</v>
      </c>
      <c r="U128">
        <v>3.4134865934495311E-3</v>
      </c>
      <c r="V128">
        <v>0.59648717034213772</v>
      </c>
      <c r="W128">
        <v>5.2825577648472968E-3</v>
      </c>
      <c r="X128">
        <v>6.5361517346049045E-2</v>
      </c>
      <c r="Y128">
        <v>-1.9889220098860541</v>
      </c>
      <c r="Z128">
        <v>-0.74740062389708761</v>
      </c>
      <c r="AA128">
        <v>9.2736669752666367E-2</v>
      </c>
      <c r="AB128">
        <v>-1.6735892321455808</v>
      </c>
      <c r="AC128">
        <v>137.20234433764432</v>
      </c>
      <c r="AD128">
        <v>286530.65383069322</v>
      </c>
      <c r="AE128">
        <v>34.479843531894339</v>
      </c>
      <c r="AF128">
        <v>87.131770859245691</v>
      </c>
      <c r="AG128">
        <v>56.133556056100922</v>
      </c>
      <c r="AH128">
        <v>133.74315228526132</v>
      </c>
      <c r="AI128">
        <v>11.920709863189614</v>
      </c>
      <c r="AJ128">
        <v>8.9131940622487011</v>
      </c>
      <c r="AK128">
        <v>2.8589833703260044</v>
      </c>
      <c r="AL128">
        <v>-1.0650504896708299</v>
      </c>
      <c r="AM128">
        <v>-2.5745418094462367</v>
      </c>
      <c r="AN128">
        <v>6.3031503734800931E-2</v>
      </c>
      <c r="AO128">
        <v>0.73117434741206067</v>
      </c>
      <c r="AP128">
        <v>-7.0693640000000002</v>
      </c>
      <c r="AQ128" t="s">
        <v>330</v>
      </c>
      <c r="AR128">
        <v>-13.623911</v>
      </c>
      <c r="AS128">
        <v>-7.0693640000000002</v>
      </c>
      <c r="AT128">
        <v>1.0297742048426848</v>
      </c>
      <c r="AU128">
        <v>0</v>
      </c>
      <c r="AV128">
        <v>0</v>
      </c>
      <c r="AW128">
        <v>7.9166666666666663E-2</v>
      </c>
    </row>
    <row r="129" spans="2:49" ht="15" customHeight="1" x14ac:dyDescent="0.2">
      <c r="B129" t="s">
        <v>612</v>
      </c>
      <c r="C129" t="s">
        <v>613</v>
      </c>
      <c r="N129" t="s">
        <v>89</v>
      </c>
      <c r="O129">
        <v>136.13397715566131</v>
      </c>
      <c r="P129" t="s">
        <v>330</v>
      </c>
      <c r="Q129">
        <v>70.754629383696241</v>
      </c>
      <c r="R129" t="s">
        <v>1013</v>
      </c>
      <c r="S129" t="s">
        <v>330</v>
      </c>
      <c r="T129" t="s">
        <v>330</v>
      </c>
      <c r="U129" t="s">
        <v>330</v>
      </c>
      <c r="V129" t="s">
        <v>330</v>
      </c>
      <c r="W129" t="s">
        <v>330</v>
      </c>
      <c r="X129" t="s">
        <v>330</v>
      </c>
      <c r="Y129" t="s">
        <v>330</v>
      </c>
      <c r="Z129" t="s">
        <v>330</v>
      </c>
      <c r="AA129" t="s">
        <v>330</v>
      </c>
      <c r="AB129">
        <v>-0.32983892318466085</v>
      </c>
      <c r="AC129">
        <v>145.42234093744239</v>
      </c>
      <c r="AD129">
        <v>136133.97715566133</v>
      </c>
      <c r="AE129">
        <v>20.181130272015395</v>
      </c>
      <c r="AF129">
        <v>86.938877067606853</v>
      </c>
      <c r="AG129">
        <v>49.19510008805446</v>
      </c>
      <c r="AH129">
        <v>136.13218860990338</v>
      </c>
      <c r="AI129">
        <v>0.10333083798022358</v>
      </c>
      <c r="AJ129">
        <v>7.5711524371850525E-2</v>
      </c>
      <c r="AK129">
        <v>5.7311110754529751E-3</v>
      </c>
      <c r="AL129">
        <v>-2.3750611188006588E-4</v>
      </c>
      <c r="AM129">
        <v>1.286843207781203E-3</v>
      </c>
      <c r="AN129">
        <v>1.8388074422578479E-5</v>
      </c>
      <c r="AO129">
        <v>1.7446497696052134E-4</v>
      </c>
      <c r="AP129">
        <v>-46.192478000000001</v>
      </c>
      <c r="AQ129" t="s">
        <v>330</v>
      </c>
      <c r="AR129">
        <v>-46.192477912030725</v>
      </c>
      <c r="AS129">
        <v>-46.192478000000001</v>
      </c>
      <c r="AT129">
        <v>0</v>
      </c>
      <c r="AU129">
        <v>0</v>
      </c>
      <c r="AV129">
        <v>0</v>
      </c>
      <c r="AW129">
        <v>0</v>
      </c>
    </row>
    <row r="130" spans="2:49" ht="15" customHeight="1" x14ac:dyDescent="0.2">
      <c r="B130" t="s">
        <v>614</v>
      </c>
      <c r="C130" t="s">
        <v>615</v>
      </c>
      <c r="N130" t="s">
        <v>89</v>
      </c>
      <c r="O130">
        <v>109.54648102952827</v>
      </c>
      <c r="P130">
        <v>131.92466041571032</v>
      </c>
      <c r="Q130">
        <v>36.802999652138901</v>
      </c>
      <c r="R130" t="s">
        <v>1013</v>
      </c>
      <c r="S130">
        <v>0.53958468747176624</v>
      </c>
      <c r="T130">
        <v>0.40514170436569152</v>
      </c>
      <c r="U130">
        <v>5.518522494636911E-3</v>
      </c>
      <c r="V130">
        <v>0.48283781951825222</v>
      </c>
      <c r="W130">
        <v>-7.9748216396546921E-4</v>
      </c>
      <c r="X130">
        <v>9.0420099510910859E-2</v>
      </c>
      <c r="Y130">
        <v>-0.88721503568741178</v>
      </c>
      <c r="Z130">
        <v>-0.37285694288531884</v>
      </c>
      <c r="AA130">
        <v>4.9248656390673905E-2</v>
      </c>
      <c r="AB130">
        <v>2.4213292883532094</v>
      </c>
      <c r="AC130">
        <v>148.79404543854241</v>
      </c>
      <c r="AD130">
        <v>109546.48102952827</v>
      </c>
      <c r="AE130">
        <v>6.0106174201296607</v>
      </c>
      <c r="AF130">
        <v>93.004989065252602</v>
      </c>
      <c r="AG130">
        <v>16.541491964275671</v>
      </c>
      <c r="AH130">
        <v>75.083988440070513</v>
      </c>
      <c r="AI130">
        <v>31.618357947182403</v>
      </c>
      <c r="AJ130">
        <v>42.003438409727806</v>
      </c>
      <c r="AK130">
        <v>3.4259442155775708</v>
      </c>
      <c r="AL130">
        <v>-1.6531110361291939</v>
      </c>
      <c r="AM130">
        <v>-2.6071143039216986</v>
      </c>
      <c r="AN130">
        <v>0.22811610695532972</v>
      </c>
      <c r="AO130">
        <v>1.5464956275648718</v>
      </c>
      <c r="AP130">
        <v>-1.6517660000000001</v>
      </c>
      <c r="AQ130" t="s">
        <v>330</v>
      </c>
      <c r="AR130">
        <v>-3.2741829999999998</v>
      </c>
      <c r="AS130">
        <v>-1.6517660000000001</v>
      </c>
      <c r="AT130">
        <v>0</v>
      </c>
      <c r="AU130">
        <v>0</v>
      </c>
      <c r="AV130">
        <v>0</v>
      </c>
      <c r="AW130">
        <v>0</v>
      </c>
    </row>
    <row r="131" spans="2:49" ht="15" customHeight="1" x14ac:dyDescent="0.2">
      <c r="B131" t="s">
        <v>616</v>
      </c>
      <c r="C131" t="s">
        <v>617</v>
      </c>
      <c r="N131" t="s">
        <v>89</v>
      </c>
      <c r="O131">
        <v>108.24958825515087</v>
      </c>
      <c r="P131">
        <v>475.54749434309582</v>
      </c>
      <c r="Q131">
        <v>33.907087057247359</v>
      </c>
      <c r="R131" t="s">
        <v>1013</v>
      </c>
      <c r="S131">
        <v>0.63800984577907616</v>
      </c>
      <c r="T131">
        <v>0.63612539418606395</v>
      </c>
      <c r="U131">
        <v>1.7317902507433473E-2</v>
      </c>
      <c r="V131">
        <v>0.27917401393882529</v>
      </c>
      <c r="W131">
        <v>-1.570461192516177E-2</v>
      </c>
      <c r="X131">
        <v>2.086821414887776E-2</v>
      </c>
      <c r="Y131">
        <v>-0.2833147466909301</v>
      </c>
      <c r="Z131">
        <v>0</v>
      </c>
      <c r="AA131">
        <v>3.8166724515487679E-2</v>
      </c>
      <c r="AB131">
        <v>0.39130703587754245</v>
      </c>
      <c r="AC131">
        <v>0</v>
      </c>
      <c r="AD131">
        <v>1082.4958825515087</v>
      </c>
      <c r="AE131">
        <v>1.702543496177046</v>
      </c>
      <c r="AF131">
        <v>97.470752300593219</v>
      </c>
      <c r="AG131">
        <v>10.778835954557644</v>
      </c>
      <c r="AH131">
        <v>99.677906961174017</v>
      </c>
      <c r="AI131">
        <v>8.1480930388259765</v>
      </c>
      <c r="AJ131">
        <v>8.1744222839668748</v>
      </c>
      <c r="AK131">
        <v>0.52835895632189167</v>
      </c>
      <c r="AL131">
        <v>-0.25979784081255275</v>
      </c>
      <c r="AM131">
        <v>-0.58872439425840639</v>
      </c>
      <c r="AN131">
        <v>-0.49652931137610656</v>
      </c>
      <c r="AO131">
        <v>0.24094174022272249</v>
      </c>
      <c r="AP131">
        <v>-10.64235</v>
      </c>
      <c r="AQ131" t="s">
        <v>330</v>
      </c>
      <c r="AR131">
        <v>-10.64235</v>
      </c>
      <c r="AS131">
        <v>-10.64235</v>
      </c>
      <c r="AT131">
        <v>2.7822603082744424</v>
      </c>
      <c r="AU131">
        <v>7.0607620943483465</v>
      </c>
      <c r="AV131">
        <v>6.3333852456525648</v>
      </c>
      <c r="AW131">
        <v>1.3666666666666665</v>
      </c>
    </row>
    <row r="132" spans="2:49" ht="15" customHeight="1" x14ac:dyDescent="0.2">
      <c r="B132" t="s">
        <v>305</v>
      </c>
      <c r="C132" t="s">
        <v>344</v>
      </c>
      <c r="N132" t="s">
        <v>89</v>
      </c>
      <c r="O132">
        <v>378.28637510066727</v>
      </c>
      <c r="P132" t="s">
        <v>330</v>
      </c>
      <c r="Q132" t="s">
        <v>330</v>
      </c>
      <c r="R132" t="s">
        <v>1013</v>
      </c>
      <c r="S132" t="s">
        <v>330</v>
      </c>
      <c r="T132" t="s">
        <v>330</v>
      </c>
      <c r="U132" t="s">
        <v>330</v>
      </c>
      <c r="V132" t="s">
        <v>330</v>
      </c>
      <c r="W132" t="s">
        <v>330</v>
      </c>
      <c r="X132" t="s">
        <v>330</v>
      </c>
      <c r="Y132" t="s">
        <v>330</v>
      </c>
      <c r="Z132" t="s">
        <v>330</v>
      </c>
      <c r="AA132" t="s">
        <v>330</v>
      </c>
      <c r="AB132">
        <v>4.8461631999801256</v>
      </c>
      <c r="AC132">
        <v>151.04165910334854</v>
      </c>
      <c r="AD132">
        <v>756572.75020133448</v>
      </c>
      <c r="AE132">
        <v>1.1596590440665464</v>
      </c>
      <c r="AF132">
        <v>96.682594999745419</v>
      </c>
      <c r="AG132">
        <v>281.60378010092188</v>
      </c>
      <c r="AH132">
        <v>361.68539076292024</v>
      </c>
      <c r="AI132">
        <v>-1.7949379887904229</v>
      </c>
      <c r="AJ132">
        <v>-0.49618334714946505</v>
      </c>
      <c r="AK132">
        <v>2.9886715552085481</v>
      </c>
      <c r="AL132">
        <v>-1.0540810755800338</v>
      </c>
      <c r="AM132">
        <v>-3.2695004231954226</v>
      </c>
      <c r="AN132">
        <v>1.9362363343917485E-2</v>
      </c>
      <c r="AO132">
        <v>0.27864632325167099</v>
      </c>
      <c r="AP132">
        <v>-26.624357</v>
      </c>
      <c r="AQ132" t="s">
        <v>330</v>
      </c>
      <c r="AR132">
        <v>-76.779672000000005</v>
      </c>
      <c r="AS132">
        <v>-26.624357</v>
      </c>
      <c r="AT132">
        <v>0.48617323324647038</v>
      </c>
      <c r="AU132">
        <v>0</v>
      </c>
      <c r="AV132">
        <v>0</v>
      </c>
      <c r="AW132">
        <v>1.9444444444444445E-2</v>
      </c>
    </row>
    <row r="133" spans="2:49" ht="15" customHeight="1" x14ac:dyDescent="0.2">
      <c r="B133" t="s">
        <v>618</v>
      </c>
      <c r="C133" t="s">
        <v>619</v>
      </c>
      <c r="N133" t="s">
        <v>89</v>
      </c>
      <c r="O133">
        <v>149.14795928090146</v>
      </c>
      <c r="P133">
        <v>166.11157406469221</v>
      </c>
      <c r="Q133">
        <v>31.231689148723991</v>
      </c>
      <c r="R133" t="s">
        <v>1013</v>
      </c>
      <c r="S133">
        <v>0.86795064448032266</v>
      </c>
      <c r="T133">
        <v>1.2475126664376184</v>
      </c>
      <c r="U133">
        <v>7.7358947548593383E-3</v>
      </c>
      <c r="V133">
        <v>1.3971967861206795</v>
      </c>
      <c r="W133">
        <v>1.4701939782244154E-3</v>
      </c>
      <c r="X133">
        <v>0.15116693907927722</v>
      </c>
      <c r="Y133">
        <v>-0.53845937710972969</v>
      </c>
      <c r="Z133">
        <v>-0.62666007490557962</v>
      </c>
      <c r="AA133">
        <v>1.7855600668134474E-2</v>
      </c>
      <c r="AB133">
        <v>1.3838334033214768</v>
      </c>
      <c r="AC133">
        <v>140.80986250135069</v>
      </c>
      <c r="AD133">
        <v>149147.95928090147</v>
      </c>
      <c r="AE133">
        <v>26.512899937964427</v>
      </c>
      <c r="AF133">
        <v>95.396828865277456</v>
      </c>
      <c r="AG133">
        <v>53.751130415623983</v>
      </c>
      <c r="AH133">
        <v>143.66539270349892</v>
      </c>
      <c r="AI133">
        <v>3.4224127610816026</v>
      </c>
      <c r="AJ133">
        <v>2.3822575013144869</v>
      </c>
      <c r="AK133">
        <v>0.92379468090102845</v>
      </c>
      <c r="AL133">
        <v>-0.54047368824903974</v>
      </c>
      <c r="AM133">
        <v>-3.8032076560804855</v>
      </c>
      <c r="AN133">
        <v>-0.66304442667613306</v>
      </c>
      <c r="AO133">
        <v>0.36745919899447915</v>
      </c>
      <c r="AP133">
        <v>-13.473024185496611</v>
      </c>
      <c r="AQ133" t="s">
        <v>330</v>
      </c>
      <c r="AR133" t="s">
        <v>330</v>
      </c>
      <c r="AS133">
        <v>-13.473024185496611</v>
      </c>
      <c r="AT133">
        <v>0.76486905441788366</v>
      </c>
      <c r="AU133">
        <v>0</v>
      </c>
      <c r="AV133">
        <v>0</v>
      </c>
      <c r="AW133">
        <v>0.45855978260869562</v>
      </c>
    </row>
    <row r="134" spans="2:49" ht="15" customHeight="1" x14ac:dyDescent="0.2">
      <c r="B134" t="s">
        <v>306</v>
      </c>
      <c r="C134" t="s">
        <v>345</v>
      </c>
      <c r="N134" t="s">
        <v>89</v>
      </c>
      <c r="O134">
        <v>128.3541540559647</v>
      </c>
      <c r="P134">
        <v>11.359789262371587</v>
      </c>
      <c r="Q134">
        <v>22.159446377731143</v>
      </c>
      <c r="R134" t="s">
        <v>1013</v>
      </c>
      <c r="S134">
        <v>0.84528527375863971</v>
      </c>
      <c r="T134">
        <v>1.1074010305627009</v>
      </c>
      <c r="U134">
        <v>8.4635238155835683E-3</v>
      </c>
      <c r="V134">
        <v>0.44135835477523505</v>
      </c>
      <c r="W134">
        <v>1.0669394559517968E-3</v>
      </c>
      <c r="X134">
        <v>-2.9551738581484223E-2</v>
      </c>
      <c r="Y134">
        <v>-1.5040440837520801</v>
      </c>
      <c r="Z134">
        <v>0</v>
      </c>
      <c r="AA134">
        <v>3.3310199240962316E-3</v>
      </c>
      <c r="AB134">
        <v>-0.43539373395865721</v>
      </c>
      <c r="AC134">
        <v>0</v>
      </c>
      <c r="AD134">
        <v>128354.15405596471</v>
      </c>
      <c r="AE134">
        <v>6.5976830206058885</v>
      </c>
      <c r="AF134">
        <v>96.568466741308498</v>
      </c>
      <c r="AG134">
        <v>31.785687314656215</v>
      </c>
      <c r="AH134">
        <v>130.9700552139015</v>
      </c>
      <c r="AI134">
        <v>-2.0570552139014922</v>
      </c>
      <c r="AJ134">
        <v>-1.5706301799612823</v>
      </c>
      <c r="AK134">
        <v>2.1353980505555503</v>
      </c>
      <c r="AL134">
        <v>-0.56909125507845604</v>
      </c>
      <c r="AM134">
        <v>-2.1267503585848315</v>
      </c>
      <c r="AN134">
        <v>-0.53233311085807844</v>
      </c>
      <c r="AO134">
        <v>0.44145373630158008</v>
      </c>
      <c r="AP134">
        <v>-10.83954145224553</v>
      </c>
      <c r="AQ134" t="s">
        <v>330</v>
      </c>
      <c r="AR134" t="s">
        <v>330</v>
      </c>
      <c r="AS134">
        <v>-10.83954145224553</v>
      </c>
      <c r="AT134">
        <v>0.62057356511755979</v>
      </c>
      <c r="AU134">
        <v>0</v>
      </c>
      <c r="AV134">
        <v>0</v>
      </c>
      <c r="AW134">
        <v>0.28415300546448086</v>
      </c>
    </row>
    <row r="135" spans="2:49" ht="15" customHeight="1" x14ac:dyDescent="0.2">
      <c r="B135" t="s">
        <v>620</v>
      </c>
      <c r="C135" t="s">
        <v>621</v>
      </c>
      <c r="N135" t="s">
        <v>89</v>
      </c>
      <c r="O135">
        <v>103.9131017976726</v>
      </c>
      <c r="P135">
        <v>19.899299131081165</v>
      </c>
      <c r="Q135">
        <v>18.58083323007456</v>
      </c>
      <c r="R135" t="s">
        <v>1013</v>
      </c>
      <c r="S135">
        <v>0.45338921114184511</v>
      </c>
      <c r="T135">
        <v>0.42872685196256483</v>
      </c>
      <c r="U135">
        <v>1.215212960264527E-2</v>
      </c>
      <c r="V135">
        <v>0.71990146960359558</v>
      </c>
      <c r="W135">
        <v>-8.0158442858373744E-4</v>
      </c>
      <c r="X135">
        <v>-3.2970376329762074E-2</v>
      </c>
      <c r="Y135">
        <v>-1.4611739214608064</v>
      </c>
      <c r="Z135">
        <v>0</v>
      </c>
      <c r="AA135">
        <v>1.350687357113479E-2</v>
      </c>
      <c r="AB135">
        <v>-0.81596852337094339</v>
      </c>
      <c r="AC135">
        <v>0</v>
      </c>
      <c r="AD135">
        <v>103913.1017976726</v>
      </c>
      <c r="AE135">
        <v>2.5518600638156963</v>
      </c>
      <c r="AF135">
        <v>95.423431861046367</v>
      </c>
      <c r="AG135">
        <v>8.4896699366262176</v>
      </c>
      <c r="AH135">
        <v>94.50403941043092</v>
      </c>
      <c r="AI135">
        <v>10.256960589569076</v>
      </c>
      <c r="AJ135">
        <v>10.853462617638076</v>
      </c>
      <c r="AK135">
        <v>4.3301471602522517</v>
      </c>
      <c r="AL135">
        <v>-3.0612698972791987</v>
      </c>
      <c r="AM135">
        <v>-4.6249943399144104</v>
      </c>
      <c r="AN135">
        <v>0.24931076826385171</v>
      </c>
      <c r="AO135">
        <v>2.9221465023044821</v>
      </c>
      <c r="AP135">
        <v>0.41773823530242538</v>
      </c>
      <c r="AQ135" t="s">
        <v>330</v>
      </c>
      <c r="AR135" t="s">
        <v>330</v>
      </c>
      <c r="AS135">
        <v>0.41773823530242538</v>
      </c>
      <c r="AT135">
        <v>1.4318305476274569</v>
      </c>
      <c r="AU135">
        <v>0</v>
      </c>
      <c r="AV135">
        <v>0</v>
      </c>
      <c r="AW135">
        <v>7.4585635359116012E-2</v>
      </c>
    </row>
    <row r="136" spans="2:49" ht="15" customHeight="1" x14ac:dyDescent="0.2">
      <c r="B136" t="s">
        <v>622</v>
      </c>
      <c r="C136" t="s">
        <v>623</v>
      </c>
      <c r="N136" t="s">
        <v>89</v>
      </c>
      <c r="O136">
        <v>144.64820776730147</v>
      </c>
      <c r="P136">
        <v>248.33627486506614</v>
      </c>
      <c r="Q136">
        <v>37.323271101223995</v>
      </c>
      <c r="R136" t="s">
        <v>1013</v>
      </c>
      <c r="S136">
        <v>0.78535013622246719</v>
      </c>
      <c r="T136">
        <v>0.89262216276213902</v>
      </c>
      <c r="U136">
        <v>2.9949968063052146E-3</v>
      </c>
      <c r="V136">
        <v>0.72812876307277941</v>
      </c>
      <c r="W136">
        <v>-7.0134281713142991E-3</v>
      </c>
      <c r="X136">
        <v>-1.8450366661049422</v>
      </c>
      <c r="Y136">
        <v>-1.9124645556424915</v>
      </c>
      <c r="Z136">
        <v>0</v>
      </c>
      <c r="AA136">
        <v>0.11345482814792164</v>
      </c>
      <c r="AB136">
        <v>6.4343747571861964</v>
      </c>
      <c r="AC136">
        <v>152.12305912500156</v>
      </c>
      <c r="AD136">
        <v>14464820.776730146</v>
      </c>
      <c r="AE136">
        <v>8.742626471715368E-3</v>
      </c>
      <c r="AF136">
        <v>92.302338789456556</v>
      </c>
      <c r="AG136">
        <v>52.345868977844901</v>
      </c>
      <c r="AH136">
        <v>113.65913388079998</v>
      </c>
      <c r="AI136">
        <v>21.681866119200023</v>
      </c>
      <c r="AJ136">
        <v>19.076219727258241</v>
      </c>
      <c r="AK136">
        <v>4.1715074881965233</v>
      </c>
      <c r="AL136">
        <v>-2.4046669723098164</v>
      </c>
      <c r="AM136">
        <v>-3.9949606564193965</v>
      </c>
      <c r="AN136">
        <v>-0.52327055653832011</v>
      </c>
      <c r="AO136">
        <v>1.7767468633376557</v>
      </c>
      <c r="AP136">
        <v>-5.4419019999999998</v>
      </c>
      <c r="AQ136" t="s">
        <v>330</v>
      </c>
      <c r="AR136" t="s">
        <v>330</v>
      </c>
      <c r="AS136">
        <v>-5.4419019999999998</v>
      </c>
      <c r="AT136">
        <v>0</v>
      </c>
      <c r="AU136">
        <v>0</v>
      </c>
      <c r="AV136">
        <v>0</v>
      </c>
      <c r="AW136">
        <v>0</v>
      </c>
    </row>
    <row r="137" spans="2:49" ht="15" customHeight="1" x14ac:dyDescent="0.2">
      <c r="B137" t="s">
        <v>624</v>
      </c>
      <c r="C137" t="s">
        <v>625</v>
      </c>
      <c r="N137" t="s">
        <v>89</v>
      </c>
      <c r="O137">
        <v>473.34347974570954</v>
      </c>
      <c r="P137" t="s">
        <v>330</v>
      </c>
      <c r="Q137" t="s">
        <v>330</v>
      </c>
      <c r="R137" t="s">
        <v>1013</v>
      </c>
      <c r="S137" t="s">
        <v>330</v>
      </c>
      <c r="T137" t="s">
        <v>330</v>
      </c>
      <c r="U137" t="s">
        <v>330</v>
      </c>
      <c r="V137" t="s">
        <v>330</v>
      </c>
      <c r="W137" t="s">
        <v>330</v>
      </c>
      <c r="X137" t="s">
        <v>330</v>
      </c>
      <c r="Y137" t="s">
        <v>330</v>
      </c>
      <c r="Z137" t="s">
        <v>330</v>
      </c>
      <c r="AA137" t="s">
        <v>330</v>
      </c>
      <c r="AB137">
        <v>-0.17355689672366775</v>
      </c>
      <c r="AC137">
        <v>151.96113173210173</v>
      </c>
      <c r="AD137">
        <v>4733.4347974570956</v>
      </c>
      <c r="AE137">
        <v>1.2989400000000002</v>
      </c>
      <c r="AF137">
        <v>94.064317866886299</v>
      </c>
      <c r="AG137">
        <v>379.27916187882323</v>
      </c>
      <c r="AH137">
        <v>473.34347963562016</v>
      </c>
      <c r="AI137">
        <v>0.82152036437986453</v>
      </c>
      <c r="AJ137">
        <v>0.17355692002185621</v>
      </c>
      <c r="AK137">
        <v>3.1712739725949528E-8</v>
      </c>
      <c r="AL137">
        <v>-4.5474735088646412E-13</v>
      </c>
      <c r="AM137">
        <v>-1.8189894035458565E-12</v>
      </c>
      <c r="AN137">
        <v>-1.916113439169517E-12</v>
      </c>
      <c r="AO137">
        <v>9.6071324597259544E-14</v>
      </c>
      <c r="AP137">
        <v>-74.721743229415637</v>
      </c>
      <c r="AQ137" t="s">
        <v>330</v>
      </c>
      <c r="AR137" t="s">
        <v>330</v>
      </c>
      <c r="AS137">
        <v>-74.721743000000004</v>
      </c>
      <c r="AT137">
        <v>0.73813967711661554</v>
      </c>
      <c r="AU137">
        <v>0</v>
      </c>
      <c r="AV137">
        <v>0</v>
      </c>
      <c r="AW137">
        <v>1.3027777777777778</v>
      </c>
    </row>
    <row r="138" spans="2:49" ht="15" customHeight="1" x14ac:dyDescent="0.2">
      <c r="B138" t="s">
        <v>626</v>
      </c>
      <c r="C138" t="s">
        <v>627</v>
      </c>
      <c r="N138" t="s">
        <v>89</v>
      </c>
      <c r="O138">
        <v>85.613171633605788</v>
      </c>
      <c r="P138">
        <v>311.78148481637794</v>
      </c>
      <c r="Q138">
        <v>59.983347881630301</v>
      </c>
      <c r="R138" t="s">
        <v>1013</v>
      </c>
      <c r="S138">
        <v>0.33049243878059326</v>
      </c>
      <c r="T138">
        <v>0.11745706317882702</v>
      </c>
      <c r="U138">
        <v>3.9116631214128044E-3</v>
      </c>
      <c r="V138">
        <v>0.23205805011305075</v>
      </c>
      <c r="W138">
        <v>1.1753158955218623E-2</v>
      </c>
      <c r="X138">
        <v>0</v>
      </c>
      <c r="Y138">
        <v>-0.3789885419471159</v>
      </c>
      <c r="Z138">
        <v>0</v>
      </c>
      <c r="AA138">
        <v>0.20445172675546003</v>
      </c>
      <c r="AB138">
        <v>-3.6160655040830285</v>
      </c>
      <c r="AC138">
        <v>144.25114418765924</v>
      </c>
      <c r="AD138">
        <v>856.13171633605782</v>
      </c>
      <c r="AE138">
        <v>0.34899501499931596</v>
      </c>
      <c r="AF138">
        <v>82.354494820557221</v>
      </c>
      <c r="AG138">
        <v>3.2586768130485777</v>
      </c>
      <c r="AH138">
        <v>35.540015260925294</v>
      </c>
      <c r="AI138">
        <v>53.168984739074709</v>
      </c>
      <c r="AJ138">
        <v>149.60315674802678</v>
      </c>
      <c r="AK138">
        <v>3.7339775789788909</v>
      </c>
      <c r="AL138">
        <v>-2.9267328561190311</v>
      </c>
      <c r="AM138">
        <v>-3.602910196907942</v>
      </c>
      <c r="AN138">
        <v>0.19373245846212278</v>
      </c>
      <c r="AO138">
        <v>3.299251322998829</v>
      </c>
      <c r="AP138">
        <v>5.4875400000000001</v>
      </c>
      <c r="AQ138" t="s">
        <v>330</v>
      </c>
      <c r="AR138" t="s">
        <v>330</v>
      </c>
      <c r="AS138">
        <v>5.4875400000000001</v>
      </c>
      <c r="AT138">
        <v>2.818203339007316</v>
      </c>
      <c r="AU138">
        <v>21.267593895629883</v>
      </c>
      <c r="AV138">
        <v>21.267593895629883</v>
      </c>
      <c r="AW138">
        <v>0.51388888888888895</v>
      </c>
    </row>
    <row r="139" spans="2:49" ht="15" customHeight="1" x14ac:dyDescent="0.2">
      <c r="B139" t="s">
        <v>628</v>
      </c>
      <c r="C139" t="s">
        <v>629</v>
      </c>
      <c r="N139" t="s">
        <v>89</v>
      </c>
      <c r="O139">
        <v>101.86997549099726</v>
      </c>
      <c r="P139">
        <v>27.513352129522598</v>
      </c>
      <c r="Q139">
        <v>40.204521586097826</v>
      </c>
      <c r="R139" t="s">
        <v>1013</v>
      </c>
      <c r="S139">
        <v>0.58917985323214883</v>
      </c>
      <c r="T139">
        <v>0.55465602804172376</v>
      </c>
      <c r="U139">
        <v>9.2092824510680692E-3</v>
      </c>
      <c r="V139">
        <v>0.68379994632991958</v>
      </c>
      <c r="W139">
        <v>-5.058407733421773E-3</v>
      </c>
      <c r="X139">
        <v>0.14334514532415571</v>
      </c>
      <c r="Y139">
        <v>-1.3536421645174845</v>
      </c>
      <c r="Z139">
        <v>0</v>
      </c>
      <c r="AA139">
        <v>1.3799217626566213E-2</v>
      </c>
      <c r="AB139">
        <v>-9.3531233938941956</v>
      </c>
      <c r="AC139">
        <v>0</v>
      </c>
      <c r="AD139">
        <v>10186997.549099727</v>
      </c>
      <c r="AE139">
        <v>3.3453318940913086E-2</v>
      </c>
      <c r="AF139">
        <v>84.137273737504756</v>
      </c>
      <c r="AG139">
        <v>17.732701753492506</v>
      </c>
      <c r="AH139">
        <v>94.140358839320001</v>
      </c>
      <c r="AI139">
        <v>17.257641160679995</v>
      </c>
      <c r="AJ139">
        <v>18.331820032825203</v>
      </c>
      <c r="AK139">
        <v>3.422178943568154</v>
      </c>
      <c r="AL139">
        <v>-1.9025180658299476</v>
      </c>
      <c r="AM139">
        <v>-3.3124530078979211</v>
      </c>
      <c r="AN139">
        <v>-7.0574914528887228E-2</v>
      </c>
      <c r="AO139">
        <v>1.7078565735739848</v>
      </c>
      <c r="AP139">
        <v>-2.9633479999999999</v>
      </c>
      <c r="AQ139" t="s">
        <v>330</v>
      </c>
      <c r="AR139" t="s">
        <v>330</v>
      </c>
      <c r="AS139">
        <v>-2.9633479999999999</v>
      </c>
      <c r="AT139">
        <v>0</v>
      </c>
      <c r="AU139">
        <v>0</v>
      </c>
      <c r="AV139">
        <v>0</v>
      </c>
      <c r="AW139">
        <v>0</v>
      </c>
    </row>
    <row r="140" spans="2:49" ht="15" customHeight="1" x14ac:dyDescent="0.2">
      <c r="B140" t="s">
        <v>630</v>
      </c>
      <c r="C140" t="s">
        <v>631</v>
      </c>
      <c r="N140" t="s">
        <v>89</v>
      </c>
      <c r="O140">
        <v>128.88575462889145</v>
      </c>
      <c r="P140" t="s">
        <v>330</v>
      </c>
      <c r="Q140">
        <v>64.108395407117797</v>
      </c>
      <c r="R140" t="s">
        <v>1013</v>
      </c>
      <c r="S140" t="s">
        <v>330</v>
      </c>
      <c r="T140" t="s">
        <v>330</v>
      </c>
      <c r="U140" t="s">
        <v>330</v>
      </c>
      <c r="V140" t="s">
        <v>330</v>
      </c>
      <c r="W140" t="s">
        <v>330</v>
      </c>
      <c r="X140" t="s">
        <v>330</v>
      </c>
      <c r="Y140" t="s">
        <v>330</v>
      </c>
      <c r="Z140" t="s">
        <v>330</v>
      </c>
      <c r="AA140" t="s">
        <v>330</v>
      </c>
      <c r="AB140">
        <v>-2.7638782744963382</v>
      </c>
      <c r="AC140">
        <v>0</v>
      </c>
      <c r="AD140">
        <v>1288.8575462889144</v>
      </c>
      <c r="AE140">
        <v>1.5212589568984292</v>
      </c>
      <c r="AF140">
        <v>96.50071101022553</v>
      </c>
      <c r="AG140">
        <v>32.385043618665946</v>
      </c>
      <c r="AH140">
        <v>126.24439424468996</v>
      </c>
      <c r="AI140">
        <v>6.2036057553100505</v>
      </c>
      <c r="AJ140">
        <v>4.9139653229164946</v>
      </c>
      <c r="AK140">
        <v>0.45064398155358049</v>
      </c>
      <c r="AL140">
        <v>-0.10934855665300347</v>
      </c>
      <c r="AM140">
        <v>-0.50454919355820493</v>
      </c>
      <c r="AN140">
        <v>2.3513307131698669E-3</v>
      </c>
      <c r="AO140">
        <v>8.4841460538332886E-2</v>
      </c>
      <c r="AP140">
        <v>-53.451645999999997</v>
      </c>
      <c r="AQ140" t="s">
        <v>330</v>
      </c>
      <c r="AR140" t="s">
        <v>330</v>
      </c>
      <c r="AS140">
        <v>-53.451645999999997</v>
      </c>
      <c r="AT140">
        <v>0</v>
      </c>
      <c r="AU140">
        <v>0</v>
      </c>
      <c r="AV140">
        <v>0</v>
      </c>
      <c r="AW140">
        <v>0</v>
      </c>
    </row>
    <row r="141" spans="2:49" ht="15" customHeight="1" x14ac:dyDescent="0.2">
      <c r="B141" t="s">
        <v>632</v>
      </c>
      <c r="C141" t="s">
        <v>633</v>
      </c>
      <c r="N141" t="s">
        <v>89</v>
      </c>
      <c r="O141">
        <v>146.01856307286801</v>
      </c>
      <c r="P141">
        <v>250.71600750576016</v>
      </c>
      <c r="Q141">
        <v>55.422020778883486</v>
      </c>
      <c r="R141" t="s">
        <v>1013</v>
      </c>
      <c r="S141">
        <v>0.83450507457850809</v>
      </c>
      <c r="T141">
        <v>1.1338996330908835</v>
      </c>
      <c r="U141">
        <v>4.0445547018468598E-3</v>
      </c>
      <c r="V141">
        <v>0.36777178521878112</v>
      </c>
      <c r="W141">
        <v>6.0348366489733959E-3</v>
      </c>
      <c r="X141">
        <v>0</v>
      </c>
      <c r="Y141">
        <v>-0.83302188523799525</v>
      </c>
      <c r="Z141">
        <v>0</v>
      </c>
      <c r="AA141">
        <v>3.4760244792677815E-2</v>
      </c>
      <c r="AB141">
        <v>-1.6000958220401242</v>
      </c>
      <c r="AC141">
        <v>144.95065264762411</v>
      </c>
      <c r="AD141">
        <v>1460.1856307286801</v>
      </c>
      <c r="AE141">
        <v>1.553677138977607</v>
      </c>
      <c r="AF141">
        <v>86.669337408308934</v>
      </c>
      <c r="AG141">
        <v>59.349225664559071</v>
      </c>
      <c r="AH141">
        <v>135.89551686401367</v>
      </c>
      <c r="AI141">
        <v>12.459483135986318</v>
      </c>
      <c r="AJ141">
        <v>9.1684283804992095</v>
      </c>
      <c r="AK141">
        <v>1.282383846005998</v>
      </c>
      <c r="AL141">
        <v>-0.64842654449250858</v>
      </c>
      <c r="AM141">
        <v>-1.5906961813727776</v>
      </c>
      <c r="AN141">
        <v>5.3598099965324275E-2</v>
      </c>
      <c r="AO141">
        <v>0.43707764786660958</v>
      </c>
      <c r="AP141">
        <v>-12.879002</v>
      </c>
      <c r="AQ141" t="s">
        <v>330</v>
      </c>
      <c r="AR141" t="s">
        <v>330</v>
      </c>
      <c r="AS141">
        <v>-12.879002</v>
      </c>
      <c r="AT141">
        <v>1.1796029793400964</v>
      </c>
      <c r="AU141">
        <v>7.1197046491350324</v>
      </c>
      <c r="AV141">
        <v>7.1197046491350324</v>
      </c>
      <c r="AW141">
        <v>0.58333333333333337</v>
      </c>
    </row>
    <row r="142" spans="2:49" ht="15" customHeight="1" x14ac:dyDescent="0.2">
      <c r="B142" t="s">
        <v>634</v>
      </c>
      <c r="C142" t="s">
        <v>635</v>
      </c>
      <c r="N142" t="s">
        <v>89</v>
      </c>
      <c r="O142">
        <v>100.63798661160584</v>
      </c>
      <c r="P142">
        <v>401.98726773918258</v>
      </c>
      <c r="Q142">
        <v>86.245492026997454</v>
      </c>
      <c r="R142" t="s">
        <v>1013</v>
      </c>
      <c r="S142">
        <v>0.19537698637547687</v>
      </c>
      <c r="T142">
        <v>4.3017327209155486E-2</v>
      </c>
      <c r="U142">
        <v>2.7311058475243013E-3</v>
      </c>
      <c r="V142">
        <v>6.6942332674108915E-2</v>
      </c>
      <c r="W142">
        <v>1.7404595250220155E-2</v>
      </c>
      <c r="X142">
        <v>0</v>
      </c>
      <c r="Y142">
        <v>-7.4727919343493487E-2</v>
      </c>
      <c r="Z142">
        <v>0</v>
      </c>
      <c r="AA142">
        <v>7.0175168517836714E-2</v>
      </c>
      <c r="AB142">
        <v>1.9859908051399318E-2</v>
      </c>
      <c r="AC142">
        <v>156.33656231891587</v>
      </c>
      <c r="AD142">
        <v>201275.97322321168</v>
      </c>
      <c r="AE142">
        <v>1.9825427369043545</v>
      </c>
      <c r="AF142">
        <v>99.453215678404291</v>
      </c>
      <c r="AG142">
        <v>1.184770933201551</v>
      </c>
      <c r="AH142">
        <v>22.017601974105833</v>
      </c>
      <c r="AI142">
        <v>78.600398025894165</v>
      </c>
      <c r="AJ142">
        <v>356.98891331732432</v>
      </c>
      <c r="AK142">
        <v>2.1858465529175937</v>
      </c>
      <c r="AL142">
        <v>-0.98665420281460681</v>
      </c>
      <c r="AM142">
        <v>-1.2177392510167555</v>
      </c>
      <c r="AN142">
        <v>-0.44988710346810828</v>
      </c>
      <c r="AO142">
        <v>0.98059413108450477</v>
      </c>
      <c r="AP142">
        <v>6.2210239999999999</v>
      </c>
      <c r="AQ142" t="s">
        <v>330</v>
      </c>
      <c r="AR142">
        <v>4.9868322618042979</v>
      </c>
      <c r="AS142">
        <v>6.2210239999999999</v>
      </c>
      <c r="AT142">
        <v>6.4600767258343446</v>
      </c>
      <c r="AU142">
        <v>12.092368927060638</v>
      </c>
      <c r="AV142">
        <v>12.092368927060638</v>
      </c>
      <c r="AW142">
        <v>0.54166666666666674</v>
      </c>
    </row>
    <row r="143" spans="2:49" ht="15" customHeight="1" x14ac:dyDescent="0.2">
      <c r="B143" t="s">
        <v>636</v>
      </c>
      <c r="C143" t="s">
        <v>637</v>
      </c>
      <c r="N143" t="s">
        <v>89</v>
      </c>
      <c r="O143">
        <v>134.69564576014773</v>
      </c>
      <c r="P143">
        <v>186.21569487478473</v>
      </c>
      <c r="Q143">
        <v>58.774165871274931</v>
      </c>
      <c r="R143" t="s">
        <v>1013</v>
      </c>
      <c r="S143">
        <v>0.79874182050236897</v>
      </c>
      <c r="T143">
        <v>0.96326339574815989</v>
      </c>
      <c r="U143">
        <v>3.3629205620111214E-3</v>
      </c>
      <c r="V143">
        <v>0.52726935478464154</v>
      </c>
      <c r="W143">
        <v>-2.9608207438286626E-3</v>
      </c>
      <c r="X143">
        <v>0</v>
      </c>
      <c r="Y143">
        <v>-1.4209015004765584</v>
      </c>
      <c r="Z143">
        <v>0</v>
      </c>
      <c r="AA143">
        <v>5.6003488738940913E-2</v>
      </c>
      <c r="AB143">
        <v>-4.4948403533646886</v>
      </c>
      <c r="AC143">
        <v>144.5252805717771</v>
      </c>
      <c r="AD143">
        <v>1346.9564576014773</v>
      </c>
      <c r="AE143">
        <v>0.54256056085716575</v>
      </c>
      <c r="AF143">
        <v>80.576541321092975</v>
      </c>
      <c r="AG143">
        <v>54.11910443905473</v>
      </c>
      <c r="AH143">
        <v>120.59759123947144</v>
      </c>
      <c r="AI143">
        <v>20.152408760528559</v>
      </c>
      <c r="AJ143">
        <v>16.710457110633151</v>
      </c>
      <c r="AK143">
        <v>2.7034871470463342</v>
      </c>
      <c r="AL143">
        <v>-1.447281548777255</v>
      </c>
      <c r="AM143">
        <v>-2.8963142156574122</v>
      </c>
      <c r="AN143">
        <v>8.0230924464243888E-2</v>
      </c>
      <c r="AO143">
        <v>1.0282639778168774</v>
      </c>
      <c r="AP143">
        <v>-7.3878959999999996</v>
      </c>
      <c r="AQ143" t="s">
        <v>330</v>
      </c>
      <c r="AR143" t="s">
        <v>330</v>
      </c>
      <c r="AS143">
        <v>-7.3878959999999996</v>
      </c>
      <c r="AT143">
        <v>1.0657193605683837</v>
      </c>
      <c r="AU143">
        <v>13.434939173685704</v>
      </c>
      <c r="AV143">
        <v>13.434939173685704</v>
      </c>
      <c r="AW143">
        <v>0.18333333333333332</v>
      </c>
    </row>
    <row r="144" spans="2:49" ht="15" customHeight="1" x14ac:dyDescent="0.2">
      <c r="B144" t="s">
        <v>638</v>
      </c>
      <c r="C144" t="s">
        <v>639</v>
      </c>
      <c r="N144" t="s">
        <v>89</v>
      </c>
      <c r="O144">
        <v>110.34278580763453</v>
      </c>
      <c r="P144">
        <v>821.64579387280389</v>
      </c>
      <c r="Q144">
        <v>30.924258559568258</v>
      </c>
      <c r="R144" t="s">
        <v>1013</v>
      </c>
      <c r="S144">
        <v>0.78792253377970223</v>
      </c>
      <c r="T144">
        <v>0.82963156015986317</v>
      </c>
      <c r="U144">
        <v>1.7785887375216445E-2</v>
      </c>
      <c r="V144">
        <v>0.24573914786296883</v>
      </c>
      <c r="W144">
        <v>-2.1258763763171373E-2</v>
      </c>
      <c r="X144">
        <v>0</v>
      </c>
      <c r="Y144">
        <v>-0.25289945616252518</v>
      </c>
      <c r="Z144">
        <v>0</v>
      </c>
      <c r="AA144">
        <v>4.9063942795108978E-2</v>
      </c>
      <c r="AB144">
        <v>1.7380255479301485</v>
      </c>
      <c r="AC144">
        <v>141.79576157501913</v>
      </c>
      <c r="AD144">
        <v>1103.4278580763453</v>
      </c>
      <c r="AE144">
        <v>0.62533475129064353</v>
      </c>
      <c r="AF144">
        <v>96.838547778138334</v>
      </c>
      <c r="AG144">
        <v>13.504238029496197</v>
      </c>
      <c r="AH144">
        <v>105.29354404678347</v>
      </c>
      <c r="AI144">
        <v>3.1314559532165305</v>
      </c>
      <c r="AJ144">
        <v>2.9740246484866906</v>
      </c>
      <c r="AK144">
        <v>0.39959635869234023</v>
      </c>
      <c r="AL144">
        <v>-0.15746299643512884</v>
      </c>
      <c r="AM144">
        <v>-0.4602010330986559</v>
      </c>
      <c r="AN144">
        <v>6.8342553387339647E-2</v>
      </c>
      <c r="AO144">
        <v>0.14522757337802983</v>
      </c>
      <c r="AP144">
        <v>-18.773996</v>
      </c>
      <c r="AQ144" t="s">
        <v>330</v>
      </c>
      <c r="AR144" t="s">
        <v>330</v>
      </c>
      <c r="AS144">
        <v>-18.773996</v>
      </c>
      <c r="AT144">
        <v>0</v>
      </c>
      <c r="AU144">
        <v>0</v>
      </c>
      <c r="AV144">
        <v>0</v>
      </c>
      <c r="AW144">
        <v>0</v>
      </c>
    </row>
    <row r="145" spans="2:49" ht="15" customHeight="1" x14ac:dyDescent="0.2">
      <c r="B145" t="s">
        <v>640</v>
      </c>
      <c r="C145" t="s">
        <v>641</v>
      </c>
      <c r="N145" t="s">
        <v>89</v>
      </c>
      <c r="O145">
        <v>113.34819621257974</v>
      </c>
      <c r="P145">
        <v>299.62810648052357</v>
      </c>
      <c r="Q145">
        <v>43.678394299906763</v>
      </c>
      <c r="R145" t="s">
        <v>1013</v>
      </c>
      <c r="S145">
        <v>0.79689348417051897</v>
      </c>
      <c r="T145">
        <v>0.80560521860768508</v>
      </c>
      <c r="U145">
        <v>4.253940110368247E-3</v>
      </c>
      <c r="V145">
        <v>0.70983171878940543</v>
      </c>
      <c r="W145">
        <v>-1.6764966080017984E-3</v>
      </c>
      <c r="X145">
        <v>0</v>
      </c>
      <c r="Y145">
        <v>-2.2794197069403817</v>
      </c>
      <c r="Z145">
        <v>0</v>
      </c>
      <c r="AA145">
        <v>0.14815187689971765</v>
      </c>
      <c r="AB145">
        <v>-3.2288151992788867</v>
      </c>
      <c r="AC145">
        <v>141.71653850279918</v>
      </c>
      <c r="AD145">
        <v>1133.4819621257975</v>
      </c>
      <c r="AE145">
        <v>0.60722559808382193</v>
      </c>
      <c r="AF145">
        <v>76.325901611979248</v>
      </c>
      <c r="AG145">
        <v>37.022294600600503</v>
      </c>
      <c r="AH145">
        <v>101.09321190475464</v>
      </c>
      <c r="AI145">
        <v>15.914788095245356</v>
      </c>
      <c r="AJ145">
        <v>15.742687165028979</v>
      </c>
      <c r="AK145">
        <v>3.7384347790099905</v>
      </c>
      <c r="AL145">
        <v>-1.7508936234736439</v>
      </c>
      <c r="AM145">
        <v>-3.802806572148711</v>
      </c>
      <c r="AN145">
        <v>-0.28771266216501934</v>
      </c>
      <c r="AO145">
        <v>1.4963879593477745</v>
      </c>
      <c r="AP145">
        <v>-2.0203730000000002</v>
      </c>
      <c r="AQ145" t="s">
        <v>330</v>
      </c>
      <c r="AR145" t="s">
        <v>330</v>
      </c>
      <c r="AS145">
        <v>-2.0203730000000002</v>
      </c>
      <c r="AT145">
        <v>1.1751333242171476</v>
      </c>
      <c r="AU145">
        <v>11.57439134199662</v>
      </c>
      <c r="AV145">
        <v>11.57439134199662</v>
      </c>
      <c r="AW145">
        <v>0.34375</v>
      </c>
    </row>
    <row r="146" spans="2:49" ht="15" customHeight="1" x14ac:dyDescent="0.2">
      <c r="B146" t="s">
        <v>642</v>
      </c>
      <c r="C146" t="s">
        <v>643</v>
      </c>
      <c r="N146" t="s">
        <v>89</v>
      </c>
      <c r="O146">
        <v>98.83038722941717</v>
      </c>
      <c r="P146" t="s">
        <v>330</v>
      </c>
      <c r="Q146">
        <v>69.517698117641785</v>
      </c>
      <c r="R146" t="s">
        <v>1013</v>
      </c>
      <c r="S146" t="s">
        <v>330</v>
      </c>
      <c r="T146" t="s">
        <v>330</v>
      </c>
      <c r="U146" t="s">
        <v>330</v>
      </c>
      <c r="V146" t="s">
        <v>330</v>
      </c>
      <c r="W146" t="s">
        <v>330</v>
      </c>
      <c r="X146" t="s">
        <v>330</v>
      </c>
      <c r="Y146" t="s">
        <v>330</v>
      </c>
      <c r="Z146" t="s">
        <v>330</v>
      </c>
      <c r="AA146" t="s">
        <v>330</v>
      </c>
      <c r="AB146">
        <v>-1.0397741012563415</v>
      </c>
      <c r="AC146">
        <v>141.52387025039891</v>
      </c>
      <c r="AD146">
        <v>98830.387229417174</v>
      </c>
      <c r="AE146">
        <v>1.653516391869506E-2</v>
      </c>
      <c r="AF146">
        <v>98.923308724487484</v>
      </c>
      <c r="AG146">
        <v>-9.2921495070302618E-2</v>
      </c>
      <c r="AH146">
        <v>51.338646593706272</v>
      </c>
      <c r="AI146">
        <v>48.519353406293732</v>
      </c>
      <c r="AJ146">
        <v>94.508438818567981</v>
      </c>
      <c r="AK146">
        <v>1.9726664106575764</v>
      </c>
      <c r="AL146">
        <v>-0.14239764317790105</v>
      </c>
      <c r="AM146">
        <v>-0.16760063468202133</v>
      </c>
      <c r="AN146">
        <v>4.1144553425370917E-4</v>
      </c>
      <c r="AO146">
        <v>0.14408285464606169</v>
      </c>
      <c r="AP146">
        <v>0.56666899999999998</v>
      </c>
      <c r="AQ146" t="s">
        <v>330</v>
      </c>
      <c r="AR146">
        <v>0.56666899999999998</v>
      </c>
      <c r="AS146">
        <v>0.56666899999999998</v>
      </c>
      <c r="AT146">
        <v>0.50071100963367987</v>
      </c>
      <c r="AU146">
        <v>0</v>
      </c>
      <c r="AV146">
        <v>0</v>
      </c>
      <c r="AW146">
        <v>0.17486338797814208</v>
      </c>
    </row>
    <row r="147" spans="2:49" ht="15" customHeight="1" x14ac:dyDescent="0.2">
      <c r="B147" t="s">
        <v>644</v>
      </c>
      <c r="C147" t="s">
        <v>645</v>
      </c>
      <c r="N147" t="s">
        <v>89</v>
      </c>
      <c r="O147">
        <v>93.539024364041069</v>
      </c>
      <c r="P147">
        <v>107.11880006597157</v>
      </c>
      <c r="Q147" t="s">
        <v>330</v>
      </c>
      <c r="R147" t="s">
        <v>1013</v>
      </c>
      <c r="S147">
        <v>6.0965949937247091E-2</v>
      </c>
      <c r="T147">
        <v>1.2115388436349314E-2</v>
      </c>
      <c r="U147">
        <v>1.4427968262697036E-3</v>
      </c>
      <c r="V147">
        <v>2.1823483625991003E-2</v>
      </c>
      <c r="W147">
        <v>1.125123764466025E-2</v>
      </c>
      <c r="X147">
        <v>0</v>
      </c>
      <c r="Y147">
        <v>-9.9226216050586572E-3</v>
      </c>
      <c r="Z147">
        <v>0</v>
      </c>
      <c r="AA147">
        <v>1.5796464340250324E-2</v>
      </c>
      <c r="AB147">
        <v>-2.9655811088674611</v>
      </c>
      <c r="AC147">
        <v>156.6043159248953</v>
      </c>
      <c r="AD147">
        <v>935.39024364041063</v>
      </c>
      <c r="AE147">
        <v>0.12209126721528758</v>
      </c>
      <c r="AF147">
        <v>93.69828307055684</v>
      </c>
      <c r="AG147">
        <v>-0.15925870651577725</v>
      </c>
      <c r="AH147">
        <v>19.882384760665893</v>
      </c>
      <c r="AI147">
        <v>76.430615239334116</v>
      </c>
      <c r="AJ147">
        <v>384.41372179126029</v>
      </c>
      <c r="AK147">
        <v>0.86988102111345411</v>
      </c>
      <c r="AL147">
        <v>-0.81618267469167449</v>
      </c>
      <c r="AM147">
        <v>-0.96688348988482176</v>
      </c>
      <c r="AN147">
        <v>1.4815597345379369E-2</v>
      </c>
      <c r="AO147">
        <v>0.84742731997931176</v>
      </c>
      <c r="AP147">
        <v>4.4683650000000004</v>
      </c>
      <c r="AQ147" t="s">
        <v>330</v>
      </c>
      <c r="AR147" t="s">
        <v>330</v>
      </c>
      <c r="AS147">
        <v>4.4683650000000004</v>
      </c>
      <c r="AT147">
        <v>0.12978517957077446</v>
      </c>
      <c r="AU147">
        <v>611.44492191467293</v>
      </c>
      <c r="AV147">
        <v>611.44492191467293</v>
      </c>
      <c r="AW147">
        <v>1.5277777777777777E-2</v>
      </c>
    </row>
    <row r="148" spans="2:49" ht="15" customHeight="1" x14ac:dyDescent="0.2">
      <c r="B148" t="s">
        <v>646</v>
      </c>
      <c r="C148" t="s">
        <v>647</v>
      </c>
      <c r="N148" t="s">
        <v>89</v>
      </c>
      <c r="O148">
        <v>103.88611144343591</v>
      </c>
      <c r="P148" t="s">
        <v>330</v>
      </c>
      <c r="Q148">
        <v>55.780386208496289</v>
      </c>
      <c r="R148" t="s">
        <v>1013</v>
      </c>
      <c r="S148" t="s">
        <v>330</v>
      </c>
      <c r="T148" t="s">
        <v>330</v>
      </c>
      <c r="U148" t="s">
        <v>330</v>
      </c>
      <c r="V148" t="s">
        <v>330</v>
      </c>
      <c r="W148" t="s">
        <v>330</v>
      </c>
      <c r="X148" t="s">
        <v>330</v>
      </c>
      <c r="Y148" t="s">
        <v>330</v>
      </c>
      <c r="Z148" t="s">
        <v>330</v>
      </c>
      <c r="AA148" t="s">
        <v>330</v>
      </c>
      <c r="AB148">
        <v>-2.9021093529000166</v>
      </c>
      <c r="AC148">
        <v>143.49946516045401</v>
      </c>
      <c r="AD148">
        <v>1038.861114434359</v>
      </c>
      <c r="AE148">
        <v>0.28942026750309763</v>
      </c>
      <c r="AF148">
        <v>96.308886793112805</v>
      </c>
      <c r="AG148">
        <v>7.5772246503230916</v>
      </c>
      <c r="AH148">
        <v>85.824171183471705</v>
      </c>
      <c r="AI148">
        <v>21.076828816528291</v>
      </c>
      <c r="AJ148">
        <v>24.558150141026161</v>
      </c>
      <c r="AK148">
        <v>0.62982245874595721</v>
      </c>
      <c r="AL148">
        <v>-0.43050797341152247</v>
      </c>
      <c r="AM148">
        <v>-0.72230389787910099</v>
      </c>
      <c r="AN148">
        <v>9.1724418318118138E-3</v>
      </c>
      <c r="AO148">
        <v>0.4144037806689167</v>
      </c>
      <c r="AP148">
        <v>-7.9109429999999996</v>
      </c>
      <c r="AQ148" t="s">
        <v>330</v>
      </c>
      <c r="AR148" t="s">
        <v>330</v>
      </c>
      <c r="AS148">
        <v>-7.9109429999999996</v>
      </c>
      <c r="AT148">
        <v>1.870889888775596</v>
      </c>
      <c r="AU148">
        <v>10.538414408264151</v>
      </c>
      <c r="AV148">
        <v>10.538414408264151</v>
      </c>
      <c r="AW148">
        <v>0.66666666666666663</v>
      </c>
    </row>
    <row r="149" spans="2:49" ht="15" customHeight="1" x14ac:dyDescent="0.2">
      <c r="B149" t="s">
        <v>648</v>
      </c>
      <c r="C149" t="s">
        <v>649</v>
      </c>
      <c r="N149" t="s">
        <v>89</v>
      </c>
      <c r="O149">
        <v>95.002604958514794</v>
      </c>
      <c r="P149">
        <v>193.42241775399845</v>
      </c>
      <c r="Q149" t="s">
        <v>330</v>
      </c>
      <c r="R149" t="s">
        <v>1013</v>
      </c>
      <c r="S149">
        <v>2.1160696436922524E-4</v>
      </c>
      <c r="T149">
        <v>4.0330182653097401E-5</v>
      </c>
      <c r="U149">
        <v>1.7779508140458622E-5</v>
      </c>
      <c r="V149">
        <v>9.9582408955711793E-5</v>
      </c>
      <c r="W149">
        <v>1.7268107375707588E-2</v>
      </c>
      <c r="X149">
        <v>0</v>
      </c>
      <c r="Y149">
        <v>-2.7947126315995476E-4</v>
      </c>
      <c r="Z149">
        <v>0</v>
      </c>
      <c r="AA149">
        <v>1.4865254885976979E-2</v>
      </c>
      <c r="AB149">
        <v>-2.6287648034238309</v>
      </c>
      <c r="AC149">
        <v>149.8969928155868</v>
      </c>
      <c r="AD149">
        <v>950.02604958514803</v>
      </c>
      <c r="AE149">
        <v>8.0874200669459864E-4</v>
      </c>
      <c r="AF149">
        <v>95.461221537034803</v>
      </c>
      <c r="AG149">
        <v>-0.45861657851999099</v>
      </c>
      <c r="AH149">
        <v>19.040871943321228</v>
      </c>
      <c r="AI149">
        <v>78.422090437726979</v>
      </c>
      <c r="AJ149">
        <v>411.06228217376781</v>
      </c>
      <c r="AK149">
        <v>0.45418476549682385</v>
      </c>
      <c r="AL149">
        <v>-0.44243691973298382</v>
      </c>
      <c r="AM149">
        <v>-0.51763303807524608</v>
      </c>
      <c r="AN149">
        <v>-4.7874679970841383E-2</v>
      </c>
      <c r="AO149">
        <v>0.45378145613639365</v>
      </c>
      <c r="AP149">
        <v>6.1059210000000004</v>
      </c>
      <c r="AQ149" t="s">
        <v>330</v>
      </c>
      <c r="AR149" t="s">
        <v>330</v>
      </c>
      <c r="AS149">
        <v>6.1059210000000004</v>
      </c>
      <c r="AT149">
        <v>0.51282051282051277</v>
      </c>
      <c r="AU149">
        <v>156.91825611335753</v>
      </c>
      <c r="AV149">
        <v>156.91825611335753</v>
      </c>
      <c r="AW149">
        <v>1.9444444444444445E-2</v>
      </c>
    </row>
    <row r="150" spans="2:49" ht="15" customHeight="1" x14ac:dyDescent="0.2">
      <c r="B150" t="s">
        <v>650</v>
      </c>
      <c r="C150" t="s">
        <v>651</v>
      </c>
      <c r="N150" t="s">
        <v>89</v>
      </c>
      <c r="O150">
        <v>109.25420723940063</v>
      </c>
      <c r="P150">
        <v>913.52946241417158</v>
      </c>
      <c r="Q150">
        <v>53.769796508058285</v>
      </c>
      <c r="R150" t="s">
        <v>1013</v>
      </c>
      <c r="S150">
        <v>0.78221974079058454</v>
      </c>
      <c r="T150">
        <v>0.63203871285649282</v>
      </c>
      <c r="U150">
        <v>3.1167828457165313E-3</v>
      </c>
      <c r="V150">
        <v>0.50318761634556497</v>
      </c>
      <c r="W150">
        <v>-1.0801444484968669E-3</v>
      </c>
      <c r="X150">
        <v>0</v>
      </c>
      <c r="Y150">
        <v>-1.5182410879613701</v>
      </c>
      <c r="Z150">
        <v>0</v>
      </c>
      <c r="AA150">
        <v>0.35053908350441171</v>
      </c>
      <c r="AB150">
        <v>4.6480656147850929</v>
      </c>
      <c r="AC150">
        <v>149.50630318782393</v>
      </c>
      <c r="AD150">
        <v>1092.5420723940063</v>
      </c>
      <c r="AE150">
        <v>12.771304169032561</v>
      </c>
      <c r="AF150">
        <v>75.457622134192093</v>
      </c>
      <c r="AG150">
        <v>33.796585105208536</v>
      </c>
      <c r="AH150">
        <v>80.735297420673376</v>
      </c>
      <c r="AI150">
        <v>23.455405059018119</v>
      </c>
      <c r="AJ150">
        <v>29.057522527141089</v>
      </c>
      <c r="AK150">
        <v>2.5416068024847842</v>
      </c>
      <c r="AL150">
        <v>-1.3192338246082045</v>
      </c>
      <c r="AM150">
        <v>-2.0661832660655364</v>
      </c>
      <c r="AN150">
        <v>0.27314897236581948</v>
      </c>
      <c r="AO150">
        <v>1.2663510065736874</v>
      </c>
      <c r="AP150">
        <v>1.389105</v>
      </c>
      <c r="AQ150" t="s">
        <v>330</v>
      </c>
      <c r="AR150" t="s">
        <v>330</v>
      </c>
      <c r="AS150">
        <v>1.389105</v>
      </c>
      <c r="AT150">
        <v>2.3997849792658577</v>
      </c>
      <c r="AU150">
        <v>9.3762810317306453</v>
      </c>
      <c r="AV150">
        <v>9.3762810317306453</v>
      </c>
      <c r="AW150">
        <v>0.30555555555555558</v>
      </c>
    </row>
    <row r="151" spans="2:49" ht="15" customHeight="1" x14ac:dyDescent="0.2">
      <c r="B151" t="s">
        <v>652</v>
      </c>
      <c r="C151" t="s">
        <v>653</v>
      </c>
      <c r="N151" t="s">
        <v>89</v>
      </c>
      <c r="O151">
        <v>100.12306327859507</v>
      </c>
      <c r="P151">
        <v>211.30931380701264</v>
      </c>
      <c r="Q151">
        <v>45.293514843188539</v>
      </c>
      <c r="R151" t="s">
        <v>1013</v>
      </c>
      <c r="S151">
        <v>0.34292099208440913</v>
      </c>
      <c r="T151">
        <v>0.28156508239929995</v>
      </c>
      <c r="U151">
        <v>1.2648848501557262E-2</v>
      </c>
      <c r="V151">
        <v>0.22546741997927597</v>
      </c>
      <c r="W151">
        <v>-9.3743863376289475E-3</v>
      </c>
      <c r="X151">
        <v>5.1056828761062822E-2</v>
      </c>
      <c r="Y151">
        <v>-0.14888680586362593</v>
      </c>
      <c r="Z151">
        <v>0</v>
      </c>
      <c r="AA151">
        <v>1.9496761727881187E-2</v>
      </c>
      <c r="AB151">
        <v>-1.205453251112194</v>
      </c>
      <c r="AC151">
        <v>142.18350714114268</v>
      </c>
      <c r="AD151">
        <v>1001.2306327859508</v>
      </c>
      <c r="AE151">
        <v>0.20217998556881833</v>
      </c>
      <c r="AF151">
        <v>95.779708075268601</v>
      </c>
      <c r="AG151">
        <v>4.3433552033264622</v>
      </c>
      <c r="AH151">
        <v>82.107858340148937</v>
      </c>
      <c r="AI151">
        <v>19.222141659851061</v>
      </c>
      <c r="AJ151">
        <v>23.410842821182023</v>
      </c>
      <c r="AK151">
        <v>0.56957065470414181</v>
      </c>
      <c r="AL151">
        <v>-0.41938278104447591</v>
      </c>
      <c r="AM151">
        <v>-0.65704501230300139</v>
      </c>
      <c r="AN151">
        <v>-0.20956621798945071</v>
      </c>
      <c r="AO151">
        <v>0.4138782009715542</v>
      </c>
      <c r="AP151">
        <v>-2.0158200000000002</v>
      </c>
      <c r="AQ151" t="s">
        <v>330</v>
      </c>
      <c r="AR151" t="s">
        <v>330</v>
      </c>
      <c r="AS151">
        <v>-2.0158200000000002</v>
      </c>
      <c r="AT151">
        <v>0.24671864206059407</v>
      </c>
      <c r="AU151">
        <v>0</v>
      </c>
      <c r="AV151">
        <v>0</v>
      </c>
      <c r="AW151">
        <v>0.10416666666666667</v>
      </c>
    </row>
    <row r="152" spans="2:49" ht="15" customHeight="1" x14ac:dyDescent="0.2">
      <c r="B152" t="s">
        <v>307</v>
      </c>
      <c r="C152" t="s">
        <v>346</v>
      </c>
      <c r="N152" t="s">
        <v>89</v>
      </c>
      <c r="O152">
        <v>102.8228901377568</v>
      </c>
      <c r="P152">
        <v>318.62928177776939</v>
      </c>
      <c r="Q152">
        <v>49.317754475390508</v>
      </c>
      <c r="R152" t="s">
        <v>1013</v>
      </c>
      <c r="S152">
        <v>0.53701081998905842</v>
      </c>
      <c r="T152">
        <v>0.40515646267342342</v>
      </c>
      <c r="U152">
        <v>6.1416575238959371E-3</v>
      </c>
      <c r="V152">
        <v>0.46301352357373843</v>
      </c>
      <c r="W152">
        <v>8.5832303238930765E-5</v>
      </c>
      <c r="X152">
        <v>5.789337166148862E-2</v>
      </c>
      <c r="Y152">
        <v>-0.77577542953473277</v>
      </c>
      <c r="Z152">
        <v>0</v>
      </c>
      <c r="AA152">
        <v>9.6476353944018503E-2</v>
      </c>
      <c r="AB152">
        <v>-1.6602430256104479</v>
      </c>
      <c r="AC152">
        <v>143.88426189317894</v>
      </c>
      <c r="AD152">
        <v>1028.228901377568</v>
      </c>
      <c r="AE152">
        <v>1.2097773488442263</v>
      </c>
      <c r="AF152">
        <v>89.18814284686583</v>
      </c>
      <c r="AG152">
        <v>13.634747290890983</v>
      </c>
      <c r="AH152">
        <v>75.44661068126679</v>
      </c>
      <c r="AI152">
        <v>29.083389318733211</v>
      </c>
      <c r="AJ152">
        <v>38.548304630408722</v>
      </c>
      <c r="AK152">
        <v>1.9440851572354692</v>
      </c>
      <c r="AL152">
        <v>-1.2690322282660418</v>
      </c>
      <c r="AM152">
        <v>-2.1491504190050819</v>
      </c>
      <c r="AN152">
        <v>-0.36568621370330096</v>
      </c>
      <c r="AO152">
        <v>1.2140363802411189</v>
      </c>
      <c r="AP152">
        <v>-0.97464700000000004</v>
      </c>
      <c r="AQ152" t="s">
        <v>330</v>
      </c>
      <c r="AR152">
        <v>-2.4649350000000001</v>
      </c>
      <c r="AS152">
        <v>-0.97464700000000004</v>
      </c>
      <c r="AT152">
        <v>0.23916578972543764</v>
      </c>
      <c r="AU152">
        <v>0</v>
      </c>
      <c r="AV152">
        <v>0</v>
      </c>
      <c r="AW152">
        <v>9.3055555555555558E-2</v>
      </c>
    </row>
    <row r="153" spans="2:49" ht="15" customHeight="1" x14ac:dyDescent="0.2">
      <c r="B153" t="s">
        <v>654</v>
      </c>
      <c r="C153" t="s">
        <v>655</v>
      </c>
      <c r="N153" t="s">
        <v>89</v>
      </c>
      <c r="O153">
        <v>97.945995374811616</v>
      </c>
      <c r="P153" t="s">
        <v>330</v>
      </c>
      <c r="Q153">
        <v>29.329122670575458</v>
      </c>
      <c r="R153" t="s">
        <v>1013</v>
      </c>
      <c r="S153" t="s">
        <v>330</v>
      </c>
      <c r="T153" t="s">
        <v>330</v>
      </c>
      <c r="U153" t="s">
        <v>330</v>
      </c>
      <c r="V153" t="s">
        <v>330</v>
      </c>
      <c r="W153" t="s">
        <v>330</v>
      </c>
      <c r="X153" t="s">
        <v>330</v>
      </c>
      <c r="Y153" t="s">
        <v>330</v>
      </c>
      <c r="Z153" t="s">
        <v>330</v>
      </c>
      <c r="AA153" t="s">
        <v>330</v>
      </c>
      <c r="AB153">
        <v>-2.632067411559901</v>
      </c>
      <c r="AC153">
        <v>136.62147427119442</v>
      </c>
      <c r="AD153">
        <v>9794599.5374811608</v>
      </c>
      <c r="AE153">
        <v>7.1470392776098943E-3</v>
      </c>
      <c r="AF153">
        <v>95.820451658478234</v>
      </c>
      <c r="AG153">
        <v>2.1255437163333784</v>
      </c>
      <c r="AH153">
        <v>64.189923885009989</v>
      </c>
      <c r="AI153">
        <v>36.334076114990012</v>
      </c>
      <c r="AJ153">
        <v>56.604018069999555</v>
      </c>
      <c r="AK153">
        <v>2.8925120688926969</v>
      </c>
      <c r="AL153">
        <v>-2.4833621188431048</v>
      </c>
      <c r="AM153">
        <v>-2.9120542606309057</v>
      </c>
      <c r="AN153">
        <v>0.14166187286993562</v>
      </c>
      <c r="AO153">
        <v>2.5354401773548583</v>
      </c>
      <c r="AP153">
        <v>-0.177173</v>
      </c>
      <c r="AQ153" t="s">
        <v>330</v>
      </c>
      <c r="AR153" t="s">
        <v>330</v>
      </c>
      <c r="AS153">
        <v>-0.177173</v>
      </c>
      <c r="AT153">
        <v>0</v>
      </c>
      <c r="AU153">
        <v>0</v>
      </c>
      <c r="AV153">
        <v>0</v>
      </c>
      <c r="AW153">
        <v>0</v>
      </c>
    </row>
    <row r="154" spans="2:49" ht="15" customHeight="1" x14ac:dyDescent="0.2">
      <c r="B154" t="s">
        <v>656</v>
      </c>
      <c r="C154" t="s">
        <v>657</v>
      </c>
      <c r="N154" t="s">
        <v>89</v>
      </c>
      <c r="O154">
        <v>96.68829506764196</v>
      </c>
      <c r="P154">
        <v>12.772081840598084</v>
      </c>
      <c r="Q154">
        <v>44.858919989228838</v>
      </c>
      <c r="R154" t="s">
        <v>1013</v>
      </c>
      <c r="S154">
        <v>0.31800919135597511</v>
      </c>
      <c r="T154">
        <v>0.1872566554044468</v>
      </c>
      <c r="U154">
        <v>5.5500033185220277E-3</v>
      </c>
      <c r="V154">
        <v>0.32054233465065773</v>
      </c>
      <c r="W154">
        <v>1.7607989752432332E-3</v>
      </c>
      <c r="X154">
        <v>-1.7744727768449542E-2</v>
      </c>
      <c r="Y154">
        <v>-0.44876655616118322</v>
      </c>
      <c r="Z154">
        <v>-0.18061052115722545</v>
      </c>
      <c r="AA154">
        <v>5.1655629048431946E-3</v>
      </c>
      <c r="AB154">
        <v>-1.0142954032563589</v>
      </c>
      <c r="AC154">
        <v>0</v>
      </c>
      <c r="AD154">
        <v>96688.295067641957</v>
      </c>
      <c r="AE154">
        <v>1.3404617523136897</v>
      </c>
      <c r="AF154">
        <v>91.209755693520705</v>
      </c>
      <c r="AG154">
        <v>5.4785393741212616</v>
      </c>
      <c r="AH154">
        <v>58.88403873045111</v>
      </c>
      <c r="AI154">
        <v>38.785340813784188</v>
      </c>
      <c r="AJ154">
        <v>65.86774896432307</v>
      </c>
      <c r="AK154">
        <v>2.4776369871425601</v>
      </c>
      <c r="AL154">
        <v>-1.9455774861352984</v>
      </c>
      <c r="AM154">
        <v>-2.8397709545356338</v>
      </c>
      <c r="AN154">
        <v>7.7611913229772928E-2</v>
      </c>
      <c r="AO154">
        <v>1.9920112688112896</v>
      </c>
      <c r="AP154">
        <v>0.954295</v>
      </c>
      <c r="AQ154" t="s">
        <v>330</v>
      </c>
      <c r="AR154" t="s">
        <v>330</v>
      </c>
      <c r="AS154">
        <v>0.954295</v>
      </c>
      <c r="AT154">
        <v>0</v>
      </c>
      <c r="AU154">
        <v>0</v>
      </c>
      <c r="AV154">
        <v>0</v>
      </c>
      <c r="AW154">
        <v>0</v>
      </c>
    </row>
    <row r="155" spans="2:49" ht="15" customHeight="1" x14ac:dyDescent="0.2">
      <c r="B155" t="s">
        <v>658</v>
      </c>
      <c r="C155" t="s">
        <v>659</v>
      </c>
      <c r="N155" t="s">
        <v>89</v>
      </c>
      <c r="O155">
        <v>96.298402672521973</v>
      </c>
      <c r="P155">
        <v>21.115422250581023</v>
      </c>
      <c r="Q155">
        <v>27.104024258340399</v>
      </c>
      <c r="R155" t="s">
        <v>1013</v>
      </c>
      <c r="S155">
        <v>0.36209806216781032</v>
      </c>
      <c r="T155">
        <v>0.30115993402556096</v>
      </c>
      <c r="U155">
        <v>8.6193599282614938E-3</v>
      </c>
      <c r="V155">
        <v>0.59392192161407731</v>
      </c>
      <c r="W155">
        <v>-3.6839655993389894E-4</v>
      </c>
      <c r="X155">
        <v>-6.4961275776814806E-2</v>
      </c>
      <c r="Y155">
        <v>-1.1346612814812052</v>
      </c>
      <c r="Z155">
        <v>0</v>
      </c>
      <c r="AA155">
        <v>1.4882997886410974E-2</v>
      </c>
      <c r="AB155">
        <v>-2.6496777274230947</v>
      </c>
      <c r="AC155">
        <v>0</v>
      </c>
      <c r="AD155">
        <v>96298.402672521974</v>
      </c>
      <c r="AE155">
        <v>0.77818613934680614</v>
      </c>
      <c r="AF155">
        <v>89.889502231261545</v>
      </c>
      <c r="AG155">
        <v>6.4089004412604416</v>
      </c>
      <c r="AH155">
        <v>83.170821799646006</v>
      </c>
      <c r="AI155">
        <v>15.679178200353988</v>
      </c>
      <c r="AJ155">
        <v>18.851777415551187</v>
      </c>
      <c r="AK155">
        <v>4.4066196721371025</v>
      </c>
      <c r="AL155">
        <v>-3.4345692087201316</v>
      </c>
      <c r="AM155">
        <v>-5.0884759118345393</v>
      </c>
      <c r="AN155">
        <v>0.21956060968524416</v>
      </c>
      <c r="AO155">
        <v>3.4745262607183931</v>
      </c>
      <c r="AP155">
        <v>0.76505940838289332</v>
      </c>
      <c r="AQ155" t="s">
        <v>330</v>
      </c>
      <c r="AR155" t="s">
        <v>330</v>
      </c>
      <c r="AS155">
        <v>0.76505940838289332</v>
      </c>
      <c r="AT155">
        <v>0.50581689428426913</v>
      </c>
      <c r="AU155">
        <v>0</v>
      </c>
      <c r="AV155">
        <v>0</v>
      </c>
      <c r="AW155">
        <v>0.27053824362606232</v>
      </c>
    </row>
    <row r="156" spans="2:49" ht="15" customHeight="1" x14ac:dyDescent="0.2">
      <c r="B156" t="s">
        <v>660</v>
      </c>
      <c r="C156" t="s">
        <v>661</v>
      </c>
      <c r="N156" t="s">
        <v>89</v>
      </c>
      <c r="O156">
        <v>92.442423404875868</v>
      </c>
      <c r="P156">
        <v>23.472193679949601</v>
      </c>
      <c r="Q156">
        <v>35.455683455864985</v>
      </c>
      <c r="R156" t="s">
        <v>1013</v>
      </c>
      <c r="S156">
        <v>0.30847225542766438</v>
      </c>
      <c r="T156">
        <v>0.17412599955512897</v>
      </c>
      <c r="U156">
        <v>5.6396924639840586E-3</v>
      </c>
      <c r="V156">
        <v>0.41620206399041487</v>
      </c>
      <c r="W156">
        <v>1.360661711616558E-3</v>
      </c>
      <c r="X156">
        <v>1.7688770362068616E-3</v>
      </c>
      <c r="Y156">
        <v>-0.75712747262588842</v>
      </c>
      <c r="Z156">
        <v>0</v>
      </c>
      <c r="AA156">
        <v>1.7702960822927133E-2</v>
      </c>
      <c r="AB156">
        <v>-2.588180304020383</v>
      </c>
      <c r="AC156">
        <v>0</v>
      </c>
      <c r="AD156">
        <v>92442.423404875866</v>
      </c>
      <c r="AE156">
        <v>5.1986369143111957E-2</v>
      </c>
      <c r="AF156">
        <v>87.833925147040119</v>
      </c>
      <c r="AG156">
        <v>4.6084982578357447</v>
      </c>
      <c r="AH156">
        <v>56.464710216284182</v>
      </c>
      <c r="AI156">
        <v>38.370289783715812</v>
      </c>
      <c r="AJ156">
        <v>67.954461533125837</v>
      </c>
      <c r="AK156">
        <v>4.533855178410569</v>
      </c>
      <c r="AL156">
        <v>-3.8904901825892013</v>
      </c>
      <c r="AM156">
        <v>-5.0033167304184465</v>
      </c>
      <c r="AN156">
        <v>0.15599320511992426</v>
      </c>
      <c r="AO156">
        <v>4.1023780066317306</v>
      </c>
      <c r="AP156">
        <v>1.2649133363500176</v>
      </c>
      <c r="AQ156" t="s">
        <v>330</v>
      </c>
      <c r="AR156" t="s">
        <v>330</v>
      </c>
      <c r="AS156">
        <v>1.2649133363500176</v>
      </c>
      <c r="AT156">
        <v>0.10544630147097592</v>
      </c>
      <c r="AU156">
        <v>0</v>
      </c>
      <c r="AV156">
        <v>0</v>
      </c>
      <c r="AW156">
        <v>3.8055555555555551E-2</v>
      </c>
    </row>
    <row r="157" spans="2:49" ht="15" customHeight="1" x14ac:dyDescent="0.2">
      <c r="B157" t="s">
        <v>662</v>
      </c>
      <c r="C157" t="s">
        <v>663</v>
      </c>
      <c r="N157" t="s">
        <v>89</v>
      </c>
      <c r="O157">
        <v>139.58195740361001</v>
      </c>
      <c r="P157" t="s">
        <v>330</v>
      </c>
      <c r="Q157">
        <v>15.464249978720817</v>
      </c>
      <c r="R157" t="s">
        <v>1013</v>
      </c>
      <c r="S157" t="s">
        <v>330</v>
      </c>
      <c r="T157" t="s">
        <v>330</v>
      </c>
      <c r="U157" t="s">
        <v>330</v>
      </c>
      <c r="V157" t="s">
        <v>330</v>
      </c>
      <c r="W157" t="s">
        <v>330</v>
      </c>
      <c r="X157" t="s">
        <v>330</v>
      </c>
      <c r="Y157" t="s">
        <v>330</v>
      </c>
      <c r="Z157" t="s">
        <v>330</v>
      </c>
      <c r="AA157" t="s">
        <v>330</v>
      </c>
      <c r="AB157">
        <v>19.401474164245819</v>
      </c>
      <c r="AC157">
        <v>0</v>
      </c>
      <c r="AD157">
        <v>13958195.740361001</v>
      </c>
      <c r="AE157">
        <v>8.1715558572975095E-3</v>
      </c>
      <c r="AF157">
        <v>97.605065966835753</v>
      </c>
      <c r="AG157">
        <v>41.976891436774245</v>
      </c>
      <c r="AH157">
        <v>104.91247881329998</v>
      </c>
      <c r="AI157">
        <v>7.5885211867000208</v>
      </c>
      <c r="AJ157">
        <v>7.2331921545809541</v>
      </c>
      <c r="AK157">
        <v>4.0142587669382035</v>
      </c>
      <c r="AL157">
        <v>-2.1880879409046843</v>
      </c>
      <c r="AM157">
        <v>-3.6091443212304264</v>
      </c>
      <c r="AN157">
        <v>0.11103396388688172</v>
      </c>
      <c r="AO157">
        <v>1.5676008429783588</v>
      </c>
      <c r="AP157">
        <v>-2.8665539999999998</v>
      </c>
      <c r="AQ157" t="s">
        <v>330</v>
      </c>
      <c r="AR157">
        <v>-5.5839850000000002</v>
      </c>
      <c r="AS157">
        <v>-2.8665539999999998</v>
      </c>
      <c r="AT157">
        <v>0</v>
      </c>
      <c r="AU157">
        <v>0</v>
      </c>
      <c r="AV157">
        <v>0</v>
      </c>
      <c r="AW157">
        <v>0</v>
      </c>
    </row>
    <row r="158" spans="2:49" ht="15" customHeight="1" x14ac:dyDescent="0.2">
      <c r="B158" t="s">
        <v>664</v>
      </c>
      <c r="C158" t="s">
        <v>665</v>
      </c>
      <c r="N158" t="s">
        <v>89</v>
      </c>
      <c r="O158">
        <v>92.969470078353808</v>
      </c>
      <c r="P158">
        <v>15.945100999355736</v>
      </c>
      <c r="Q158">
        <v>48.723284416463194</v>
      </c>
      <c r="R158" t="s">
        <v>1013</v>
      </c>
      <c r="S158">
        <v>0.54136548951336994</v>
      </c>
      <c r="T158">
        <v>0.4960386659172904</v>
      </c>
      <c r="U158">
        <v>8.3745508942908702E-3</v>
      </c>
      <c r="V158">
        <v>0.76315742146097121</v>
      </c>
      <c r="W158">
        <v>-5.5886060213297603E-3</v>
      </c>
      <c r="X158">
        <v>0.14045059576714861</v>
      </c>
      <c r="Y158">
        <v>-1.3640400079828829</v>
      </c>
      <c r="Z158">
        <v>0</v>
      </c>
      <c r="AA158">
        <v>1.1426192531545738E-2</v>
      </c>
      <c r="AB158">
        <v>-16.622155540546917</v>
      </c>
      <c r="AC158">
        <v>0</v>
      </c>
      <c r="AD158">
        <v>9296947.0078353807</v>
      </c>
      <c r="AE158">
        <v>1.9664344838896383E-2</v>
      </c>
      <c r="AF158">
        <v>75.833969596375013</v>
      </c>
      <c r="AG158">
        <v>17.135500481978795</v>
      </c>
      <c r="AH158">
        <v>91.627315653824994</v>
      </c>
      <c r="AI158">
        <v>16.795684346175008</v>
      </c>
      <c r="AJ158">
        <v>18.330433699084221</v>
      </c>
      <c r="AK158">
        <v>4.6739206646832123</v>
      </c>
      <c r="AL158">
        <v>-3.2792640888476745</v>
      </c>
      <c r="AM158">
        <v>-5.2282753252796832</v>
      </c>
      <c r="AN158">
        <v>0.18942003991811587</v>
      </c>
      <c r="AO158">
        <v>3.0245096417251638</v>
      </c>
      <c r="AP158">
        <v>-1.4894769999999999</v>
      </c>
      <c r="AQ158" t="s">
        <v>330</v>
      </c>
      <c r="AR158" t="s">
        <v>330</v>
      </c>
      <c r="AS158">
        <v>-1.4894769999999999</v>
      </c>
      <c r="AT158">
        <v>0</v>
      </c>
      <c r="AU158">
        <v>0</v>
      </c>
      <c r="AV158">
        <v>0</v>
      </c>
      <c r="AW158">
        <v>0</v>
      </c>
    </row>
    <row r="159" spans="2:49" ht="15" customHeight="1" x14ac:dyDescent="0.2">
      <c r="B159" t="s">
        <v>666</v>
      </c>
      <c r="C159" t="s">
        <v>667</v>
      </c>
      <c r="N159" t="s">
        <v>89</v>
      </c>
      <c r="O159">
        <v>96.446539749039175</v>
      </c>
      <c r="P159" t="s">
        <v>330</v>
      </c>
      <c r="Q159">
        <v>45.870611075496086</v>
      </c>
      <c r="R159" t="s">
        <v>1013</v>
      </c>
      <c r="S159" t="s">
        <v>330</v>
      </c>
      <c r="T159" t="s">
        <v>330</v>
      </c>
      <c r="U159" t="s">
        <v>330</v>
      </c>
      <c r="V159" t="s">
        <v>330</v>
      </c>
      <c r="W159" t="s">
        <v>330</v>
      </c>
      <c r="X159" t="s">
        <v>330</v>
      </c>
      <c r="Y159" t="s">
        <v>330</v>
      </c>
      <c r="Z159" t="s">
        <v>330</v>
      </c>
      <c r="AA159" t="s">
        <v>330</v>
      </c>
      <c r="AB159">
        <v>-12.739140546598229</v>
      </c>
      <c r="AC159">
        <v>0</v>
      </c>
      <c r="AD159">
        <v>9644653.9749039169</v>
      </c>
      <c r="AE159">
        <v>2.5193943664486577E-2</v>
      </c>
      <c r="AF159">
        <v>84.404582999273941</v>
      </c>
      <c r="AG159">
        <v>12.041956749765221</v>
      </c>
      <c r="AH159">
        <v>91.627315653824994</v>
      </c>
      <c r="AI159">
        <v>17.105684346175011</v>
      </c>
      <c r="AJ159">
        <v>18.668760755582532</v>
      </c>
      <c r="AK159">
        <v>2.2549381959206114</v>
      </c>
      <c r="AL159">
        <v>-1.4492281062548049</v>
      </c>
      <c r="AM159">
        <v>-2.5513626392427833</v>
      </c>
      <c r="AN159">
        <v>0.16523213063803963</v>
      </c>
      <c r="AO159">
        <v>1.502623225287087</v>
      </c>
      <c r="AP159">
        <v>-2.4383349999999999</v>
      </c>
      <c r="AQ159" t="s">
        <v>330</v>
      </c>
      <c r="AR159" t="s">
        <v>330</v>
      </c>
      <c r="AS159">
        <v>-2.4383349999999999</v>
      </c>
      <c r="AT159">
        <v>0</v>
      </c>
      <c r="AU159">
        <v>0</v>
      </c>
      <c r="AV159">
        <v>0</v>
      </c>
      <c r="AW159">
        <v>0</v>
      </c>
    </row>
    <row r="160" spans="2:49" ht="15" customHeight="1" x14ac:dyDescent="0.2">
      <c r="B160" t="s">
        <v>668</v>
      </c>
      <c r="C160" t="s">
        <v>669</v>
      </c>
      <c r="N160" t="s">
        <v>89</v>
      </c>
      <c r="O160">
        <v>109.89669268942902</v>
      </c>
      <c r="P160">
        <v>188.78494641520098</v>
      </c>
      <c r="Q160">
        <v>51.292808985160029</v>
      </c>
      <c r="R160" t="s">
        <v>1013</v>
      </c>
      <c r="S160">
        <v>0.63135650345304972</v>
      </c>
      <c r="T160">
        <v>0.59948322282150446</v>
      </c>
      <c r="U160">
        <v>5.0683468651393929E-3</v>
      </c>
      <c r="V160">
        <v>0.61679601241822091</v>
      </c>
      <c r="W160">
        <v>4.381915397825651E-3</v>
      </c>
      <c r="X160">
        <v>6.8149530083993576E-2</v>
      </c>
      <c r="Y160">
        <v>-1.286907911959537</v>
      </c>
      <c r="Z160">
        <v>-0.50745555490919603</v>
      </c>
      <c r="AA160">
        <v>8.5457805489094152E-2</v>
      </c>
      <c r="AB160">
        <v>-6.958632806341579</v>
      </c>
      <c r="AC160">
        <v>141.26236904389094</v>
      </c>
      <c r="AD160">
        <v>109896.69268942902</v>
      </c>
      <c r="AE160">
        <v>0.19956765611816055</v>
      </c>
      <c r="AF160">
        <v>86.379305499147407</v>
      </c>
      <c r="AG160">
        <v>23.517387190281632</v>
      </c>
      <c r="AH160">
        <v>94.951619179144856</v>
      </c>
      <c r="AI160">
        <v>22.575698056925972</v>
      </c>
      <c r="AJ160">
        <v>23.771824487773106</v>
      </c>
      <c r="AK160">
        <v>3.6519877795258759</v>
      </c>
      <c r="AL160">
        <v>-1.8015936774096917</v>
      </c>
      <c r="AM160">
        <v>-4.0734137460213971</v>
      </c>
      <c r="AN160">
        <v>0.2284656093994939</v>
      </c>
      <c r="AO160">
        <v>1.5326972686055365</v>
      </c>
      <c r="AP160">
        <v>-1.7873000000000001</v>
      </c>
      <c r="AQ160" t="s">
        <v>330</v>
      </c>
      <c r="AR160">
        <v>-4.2411279999999998</v>
      </c>
      <c r="AS160">
        <v>-1.7873000000000001</v>
      </c>
      <c r="AT160">
        <v>1.4888041924726061</v>
      </c>
      <c r="AU160">
        <v>0</v>
      </c>
      <c r="AV160">
        <v>0</v>
      </c>
      <c r="AW160">
        <v>0.46180555555555558</v>
      </c>
    </row>
    <row r="161" spans="2:49" ht="15" customHeight="1" x14ac:dyDescent="0.2">
      <c r="B161" t="s">
        <v>670</v>
      </c>
      <c r="C161" t="s">
        <v>671</v>
      </c>
      <c r="N161" t="s">
        <v>89</v>
      </c>
      <c r="O161">
        <v>108.20581139146978</v>
      </c>
      <c r="P161">
        <v>244.46975676674214</v>
      </c>
      <c r="Q161" t="s">
        <v>330</v>
      </c>
      <c r="R161" t="s">
        <v>1013</v>
      </c>
      <c r="S161">
        <v>0.46043463979176624</v>
      </c>
      <c r="T161">
        <v>0.38451689122456661</v>
      </c>
      <c r="U161">
        <v>9.9599011014511758E-3</v>
      </c>
      <c r="V161">
        <v>0.59072529188259748</v>
      </c>
      <c r="W161">
        <v>1.0330412103053277E-2</v>
      </c>
      <c r="X161">
        <v>-3.2286199442702307E-2</v>
      </c>
      <c r="Y161">
        <v>-1.0954020006059284</v>
      </c>
      <c r="Z161">
        <v>-0.38345728593847056</v>
      </c>
      <c r="AA161">
        <v>0.12256665581526005</v>
      </c>
      <c r="AB161">
        <v>8.0677842337754448</v>
      </c>
      <c r="AC161">
        <v>135.74756611079476</v>
      </c>
      <c r="AD161">
        <v>1082.0581139146977</v>
      </c>
      <c r="AE161">
        <v>12.344885481001777</v>
      </c>
      <c r="AF161">
        <v>96.416906325349444</v>
      </c>
      <c r="AG161">
        <v>11.788905066120332</v>
      </c>
      <c r="AH161">
        <v>83.511720881484109</v>
      </c>
      <c r="AI161">
        <v>15.993870282938943</v>
      </c>
      <c r="AJ161">
        <v>19.158435867826586</v>
      </c>
      <c r="AK161">
        <v>3.8988746516966488</v>
      </c>
      <c r="AL161">
        <v>-1.7997873040321792</v>
      </c>
      <c r="AM161">
        <v>-3.5351872251561645</v>
      </c>
      <c r="AN161">
        <v>0.14382737321938699</v>
      </c>
      <c r="AO161">
        <v>1.8092678676587108</v>
      </c>
      <c r="AP161">
        <v>2.365224</v>
      </c>
      <c r="AQ161" t="s">
        <v>330</v>
      </c>
      <c r="AR161">
        <v>2.4425180000000002</v>
      </c>
      <c r="AS161">
        <v>2.4425180000000002</v>
      </c>
      <c r="AT161">
        <v>2.2618521050303593</v>
      </c>
      <c r="AU161">
        <v>0</v>
      </c>
      <c r="AV161">
        <v>0</v>
      </c>
      <c r="AW161">
        <v>0.38124999999999998</v>
      </c>
    </row>
    <row r="162" spans="2:49" ht="15" customHeight="1" x14ac:dyDescent="0.2">
      <c r="B162" t="s">
        <v>672</v>
      </c>
      <c r="C162" t="s">
        <v>673</v>
      </c>
      <c r="N162" t="s">
        <v>89</v>
      </c>
      <c r="O162">
        <v>101.81116201191068</v>
      </c>
      <c r="P162">
        <v>8.8032958239572459</v>
      </c>
      <c r="Q162">
        <v>25.683132346010566</v>
      </c>
      <c r="R162" t="s">
        <v>1013</v>
      </c>
      <c r="S162">
        <v>0.48876369122700142</v>
      </c>
      <c r="T162">
        <v>0.3907943463831946</v>
      </c>
      <c r="U162">
        <v>8.4429237046911975E-3</v>
      </c>
      <c r="V162">
        <v>0.75037779599335974</v>
      </c>
      <c r="W162">
        <v>-3.316284531727433E-3</v>
      </c>
      <c r="X162">
        <v>-0.11862777831544542</v>
      </c>
      <c r="Y162">
        <v>-1.4674043218057888</v>
      </c>
      <c r="Z162">
        <v>0</v>
      </c>
      <c r="AA162">
        <v>6.4565080558023477E-3</v>
      </c>
      <c r="AB162">
        <v>-2.8649491180034641</v>
      </c>
      <c r="AC162">
        <v>0</v>
      </c>
      <c r="AD162">
        <v>10181116.201191068</v>
      </c>
      <c r="AE162">
        <v>2.2563183971316087E-2</v>
      </c>
      <c r="AF162">
        <v>90.814898281329548</v>
      </c>
      <c r="AG162">
        <v>10.996263730581123</v>
      </c>
      <c r="AH162">
        <v>79.955682755840002</v>
      </c>
      <c r="AI162">
        <v>24.772317244159993</v>
      </c>
      <c r="AJ162">
        <v>30.982559826056406</v>
      </c>
      <c r="AK162">
        <v>5.1381970448016459</v>
      </c>
      <c r="AL162">
        <v>-3.4020976494193076</v>
      </c>
      <c r="AM162">
        <v>-4.581263599001244</v>
      </c>
      <c r="AN162">
        <v>0.69320664141583543</v>
      </c>
      <c r="AO162">
        <v>3.2485081825484183</v>
      </c>
      <c r="AP162">
        <v>-0.89204700000000003</v>
      </c>
      <c r="AQ162" t="s">
        <v>330</v>
      </c>
      <c r="AR162" t="s">
        <v>330</v>
      </c>
      <c r="AS162">
        <v>-0.89204700000000003</v>
      </c>
      <c r="AT162">
        <v>0</v>
      </c>
      <c r="AU162">
        <v>0</v>
      </c>
      <c r="AV162">
        <v>0</v>
      </c>
      <c r="AW162">
        <v>0</v>
      </c>
    </row>
    <row r="163" spans="2:49" ht="15" customHeight="1" x14ac:dyDescent="0.2">
      <c r="B163" t="s">
        <v>674</v>
      </c>
      <c r="C163" t="s">
        <v>675</v>
      </c>
      <c r="N163" t="s">
        <v>89</v>
      </c>
      <c r="O163">
        <v>100.72250163097196</v>
      </c>
      <c r="P163" t="s">
        <v>330</v>
      </c>
      <c r="Q163">
        <v>26.218407143699263</v>
      </c>
      <c r="R163" t="s">
        <v>1013</v>
      </c>
      <c r="S163" t="s">
        <v>330</v>
      </c>
      <c r="T163" t="s">
        <v>330</v>
      </c>
      <c r="U163" t="s">
        <v>330</v>
      </c>
      <c r="V163" t="s">
        <v>330</v>
      </c>
      <c r="W163" t="s">
        <v>330</v>
      </c>
      <c r="X163" t="s">
        <v>330</v>
      </c>
      <c r="Y163" t="s">
        <v>330</v>
      </c>
      <c r="Z163" t="s">
        <v>330</v>
      </c>
      <c r="AA163" t="s">
        <v>330</v>
      </c>
      <c r="AB163">
        <v>-2.2432905581579061</v>
      </c>
      <c r="AC163">
        <v>0</v>
      </c>
      <c r="AD163">
        <v>10072250.163097195</v>
      </c>
      <c r="AE163">
        <v>1.6720221348607536E-2</v>
      </c>
      <c r="AF163">
        <v>94.674556292294199</v>
      </c>
      <c r="AG163">
        <v>6.0479453386777831</v>
      </c>
      <c r="AH163">
        <v>76.488252962839994</v>
      </c>
      <c r="AI163">
        <v>26.493747037160006</v>
      </c>
      <c r="AJ163">
        <v>34.637667891344528</v>
      </c>
      <c r="AK163">
        <v>3.1025600938560194</v>
      </c>
      <c r="AL163">
        <v>-2.2421922639817931</v>
      </c>
      <c r="AM163">
        <v>-2.960793092099391</v>
      </c>
      <c r="AN163">
        <v>0.16610314865361112</v>
      </c>
      <c r="AO163">
        <v>2.2261085930895144</v>
      </c>
      <c r="AP163">
        <v>-0.92605099999999996</v>
      </c>
      <c r="AQ163" t="s">
        <v>330</v>
      </c>
      <c r="AR163" t="s">
        <v>330</v>
      </c>
      <c r="AS163">
        <v>-0.92605099999999996</v>
      </c>
      <c r="AT163">
        <v>0</v>
      </c>
      <c r="AU163">
        <v>0</v>
      </c>
      <c r="AV163">
        <v>0</v>
      </c>
      <c r="AW163">
        <v>0</v>
      </c>
    </row>
    <row r="164" spans="2:49" ht="15" customHeight="1" x14ac:dyDescent="0.2">
      <c r="B164" t="s">
        <v>676</v>
      </c>
      <c r="C164" t="s">
        <v>677</v>
      </c>
      <c r="N164" t="s">
        <v>89</v>
      </c>
      <c r="O164">
        <v>89.555675464362068</v>
      </c>
      <c r="P164">
        <v>1450.9052106557972</v>
      </c>
      <c r="Q164" t="s">
        <v>330</v>
      </c>
      <c r="R164" t="s">
        <v>1013</v>
      </c>
      <c r="S164">
        <v>0.57261807142803378</v>
      </c>
      <c r="T164">
        <v>0.12602487637366547</v>
      </c>
      <c r="U164">
        <v>2.3103374107017738E-3</v>
      </c>
      <c r="V164">
        <v>0.14451559560775423</v>
      </c>
      <c r="W164">
        <v>1.5731564014663489E-2</v>
      </c>
      <c r="X164">
        <v>0</v>
      </c>
      <c r="Y164">
        <v>-0.45704383222944434</v>
      </c>
      <c r="Z164">
        <v>0</v>
      </c>
      <c r="AA164">
        <v>0.92228822150156964</v>
      </c>
      <c r="AB164">
        <v>28.435579690866064</v>
      </c>
      <c r="AC164">
        <v>157.28476900448973</v>
      </c>
      <c r="AD164">
        <v>895.55675464362071</v>
      </c>
      <c r="AE164">
        <v>8.1448614854495194</v>
      </c>
      <c r="AF164">
        <v>84.273604032716634</v>
      </c>
      <c r="AG164">
        <v>5.2820714316454431</v>
      </c>
      <c r="AH164">
        <v>21.937314856595997</v>
      </c>
      <c r="AI164">
        <v>42.152685143404007</v>
      </c>
      <c r="AJ164">
        <v>192.15061377819336</v>
      </c>
      <c r="AK164">
        <v>2.5835390782055745</v>
      </c>
      <c r="AL164">
        <v>-1.5472428495065174</v>
      </c>
      <c r="AM164">
        <v>-1.6180281323935333</v>
      </c>
      <c r="AN164">
        <v>0.11254229016596312</v>
      </c>
      <c r="AO164">
        <v>2.4141720229466648</v>
      </c>
      <c r="AP164">
        <v>14.394925528823688</v>
      </c>
      <c r="AQ164" t="s">
        <v>330</v>
      </c>
      <c r="AR164" t="s">
        <v>330</v>
      </c>
      <c r="AS164">
        <v>14.394926</v>
      </c>
      <c r="AT164">
        <v>4.8759556873147138</v>
      </c>
      <c r="AU164">
        <v>13.488859245889282</v>
      </c>
      <c r="AV164">
        <v>13.488859245889282</v>
      </c>
      <c r="AW164">
        <v>0.26041666666666663</v>
      </c>
    </row>
    <row r="165" spans="2:49" ht="15" customHeight="1" x14ac:dyDescent="0.2">
      <c r="B165" t="s">
        <v>678</v>
      </c>
      <c r="C165" t="s">
        <v>679</v>
      </c>
      <c r="N165" t="s">
        <v>89</v>
      </c>
      <c r="O165">
        <v>129.17210406779057</v>
      </c>
      <c r="P165">
        <v>913.10333194863858</v>
      </c>
      <c r="Q165">
        <v>46.497075464471074</v>
      </c>
      <c r="R165" t="s">
        <v>1013</v>
      </c>
      <c r="S165">
        <v>0.9962493651612554</v>
      </c>
      <c r="T165">
        <v>1.2841114309663666</v>
      </c>
      <c r="U165">
        <v>-5.2296285679151579E-14</v>
      </c>
      <c r="V165">
        <v>0</v>
      </c>
      <c r="W165">
        <v>-6.6904807316884403E-3</v>
      </c>
      <c r="X165">
        <v>0</v>
      </c>
      <c r="Y165">
        <v>-0.24351819284949902</v>
      </c>
      <c r="Z165">
        <v>0</v>
      </c>
      <c r="AA165">
        <v>2.845727915231118E-2</v>
      </c>
      <c r="AB165">
        <v>-0.26623080477884742</v>
      </c>
      <c r="AC165">
        <v>0</v>
      </c>
      <c r="AD165">
        <v>12917210.406779058</v>
      </c>
      <c r="AE165">
        <v>4.2520246058488954E-2</v>
      </c>
      <c r="AF165">
        <v>98.71259556299816</v>
      </c>
      <c r="AG165">
        <v>30.459508504792414</v>
      </c>
      <c r="AH165">
        <v>128.8945795974</v>
      </c>
      <c r="AI165">
        <v>0.62142040259999476</v>
      </c>
      <c r="AJ165">
        <v>0.48211523288333047</v>
      </c>
      <c r="AK165">
        <v>0.27883393405187101</v>
      </c>
      <c r="AL165">
        <v>-2.1688260103575885E-3</v>
      </c>
      <c r="AM165">
        <v>7.4401934972591705E-2</v>
      </c>
      <c r="AN165">
        <v>0.13049479439842429</v>
      </c>
      <c r="AO165">
        <v>1.674562224248424E-3</v>
      </c>
      <c r="AP165">
        <v>-80.433396000000002</v>
      </c>
      <c r="AQ165" t="s">
        <v>330</v>
      </c>
      <c r="AR165" t="s">
        <v>330</v>
      </c>
      <c r="AS165">
        <v>-80.433396000000002</v>
      </c>
      <c r="AT165">
        <v>0</v>
      </c>
      <c r="AU165">
        <v>0</v>
      </c>
      <c r="AV165">
        <v>0</v>
      </c>
      <c r="AW165">
        <v>0</v>
      </c>
    </row>
    <row r="166" spans="2:49" ht="15" customHeight="1" x14ac:dyDescent="0.2">
      <c r="B166" t="s">
        <v>308</v>
      </c>
      <c r="C166" t="s">
        <v>347</v>
      </c>
      <c r="N166" t="s">
        <v>89</v>
      </c>
      <c r="O166">
        <v>92.22797187316587</v>
      </c>
      <c r="P166">
        <v>175.37018845002663</v>
      </c>
      <c r="Q166">
        <v>88.378939459674669</v>
      </c>
      <c r="R166" t="s">
        <v>1013</v>
      </c>
      <c r="S166">
        <v>1.4994317082873963E-2</v>
      </c>
      <c r="T166">
        <v>5.0225065498018719E-3</v>
      </c>
      <c r="U166">
        <v>8.3045584612874781E-4</v>
      </c>
      <c r="V166">
        <v>2.0244379228381151E-2</v>
      </c>
      <c r="W166">
        <v>1.1035030194965658E-2</v>
      </c>
      <c r="X166">
        <v>-2.5155335518712045E-3</v>
      </c>
      <c r="Y166">
        <v>-1.1044029944225703E-2</v>
      </c>
      <c r="Z166">
        <v>0</v>
      </c>
      <c r="AA166">
        <v>7.2484156153936621E-2</v>
      </c>
      <c r="AB166">
        <v>-6.6986490121785494</v>
      </c>
      <c r="AC166">
        <v>137.94338161643148</v>
      </c>
      <c r="AD166">
        <v>92227.971873165865</v>
      </c>
      <c r="AE166">
        <v>9.242764955547636E-2</v>
      </c>
      <c r="AF166">
        <v>93.571955084089794</v>
      </c>
      <c r="AG166">
        <v>-1.3439832109239214</v>
      </c>
      <c r="AH166">
        <v>33.496067357001671</v>
      </c>
      <c r="AI166">
        <v>64.909932642998342</v>
      </c>
      <c r="AJ166">
        <v>193.7837416887993</v>
      </c>
      <c r="AK166">
        <v>2.5424231790152447</v>
      </c>
      <c r="AL166">
        <v>-2.9110631945751084</v>
      </c>
      <c r="AM166">
        <v>-2.8797244356064766</v>
      </c>
      <c r="AN166">
        <v>0.11407523345085326</v>
      </c>
      <c r="AO166">
        <v>2.9582171763663885</v>
      </c>
      <c r="AP166">
        <v>4.1416695722598496</v>
      </c>
      <c r="AQ166" t="s">
        <v>330</v>
      </c>
      <c r="AR166" t="s">
        <v>330</v>
      </c>
      <c r="AS166">
        <v>4.1416700000000004</v>
      </c>
      <c r="AT166">
        <v>3.5566936975387677</v>
      </c>
      <c r="AU166">
        <v>31.600442160525915</v>
      </c>
      <c r="AV166">
        <v>21.586831992445333</v>
      </c>
      <c r="AW166">
        <v>1.2336065573770494</v>
      </c>
    </row>
    <row r="167" spans="2:49" ht="15" customHeight="1" x14ac:dyDescent="0.2">
      <c r="B167" t="s">
        <v>680</v>
      </c>
      <c r="C167" t="s">
        <v>681</v>
      </c>
      <c r="N167" t="s">
        <v>89</v>
      </c>
      <c r="O167">
        <v>84.835429031441024</v>
      </c>
      <c r="P167">
        <v>100.52108742323492</v>
      </c>
      <c r="Q167">
        <v>70.255350047239872</v>
      </c>
      <c r="R167" t="s">
        <v>1013</v>
      </c>
      <c r="S167">
        <v>2.4236172155908037E-2</v>
      </c>
      <c r="T167">
        <v>1.0894140578416069E-2</v>
      </c>
      <c r="U167">
        <v>1.6476008839095954E-3</v>
      </c>
      <c r="V167">
        <v>3.8346299384313172E-2</v>
      </c>
      <c r="W167">
        <v>7.6424972299137155E-3</v>
      </c>
      <c r="X167">
        <v>-1.3507696507347925E-2</v>
      </c>
      <c r="Y167">
        <v>-2.4783164517836489E-2</v>
      </c>
      <c r="Z167">
        <v>0</v>
      </c>
      <c r="AA167">
        <v>4.6273808645120318E-2</v>
      </c>
      <c r="AB167">
        <v>-9.3528977918156411</v>
      </c>
      <c r="AC167">
        <v>137.00499022228908</v>
      </c>
      <c r="AD167">
        <v>84835.429031441032</v>
      </c>
      <c r="AE167">
        <v>1.5777261687726515E-2</v>
      </c>
      <c r="AF167">
        <v>85.825102088269929</v>
      </c>
      <c r="AG167">
        <v>-0.98967305682890572</v>
      </c>
      <c r="AH167">
        <v>44.949922406622321</v>
      </c>
      <c r="AI167">
        <v>47.820077593377675</v>
      </c>
      <c r="AJ167">
        <v>106.38522834542758</v>
      </c>
      <c r="AK167">
        <v>2.6414384233747472</v>
      </c>
      <c r="AL167">
        <v>-2.8912840399561537</v>
      </c>
      <c r="AM167">
        <v>-2.8260045905725564</v>
      </c>
      <c r="AN167">
        <v>0.13497664666940379</v>
      </c>
      <c r="AO167">
        <v>3.1166153281838458</v>
      </c>
      <c r="AP167">
        <v>3.2136110000000002</v>
      </c>
      <c r="AQ167" t="s">
        <v>330</v>
      </c>
      <c r="AR167" t="s">
        <v>330</v>
      </c>
      <c r="AS167">
        <v>3.2136110000000002</v>
      </c>
      <c r="AT167">
        <v>0.43117387086342568</v>
      </c>
      <c r="AU167">
        <v>0</v>
      </c>
      <c r="AV167">
        <v>0</v>
      </c>
      <c r="AW167">
        <v>0.1</v>
      </c>
    </row>
    <row r="168" spans="2:49" ht="15" customHeight="1" x14ac:dyDescent="0.2">
      <c r="B168" t="s">
        <v>309</v>
      </c>
      <c r="C168" t="s">
        <v>348</v>
      </c>
      <c r="N168" t="s">
        <v>89</v>
      </c>
      <c r="O168">
        <v>85.320673205581386</v>
      </c>
      <c r="P168">
        <v>83.993882760876218</v>
      </c>
      <c r="Q168">
        <v>51.741332689031381</v>
      </c>
      <c r="R168" t="s">
        <v>1013</v>
      </c>
      <c r="S168">
        <v>0.26354473292909708</v>
      </c>
      <c r="T168">
        <v>0.16091812962470517</v>
      </c>
      <c r="U168">
        <v>6.8655012599059496E-3</v>
      </c>
      <c r="V168">
        <v>0.41249271276223587</v>
      </c>
      <c r="W168">
        <v>3.9163855822989717E-3</v>
      </c>
      <c r="X168">
        <v>1.7369392547775871E-2</v>
      </c>
      <c r="Y168">
        <v>-0.62368734732173037</v>
      </c>
      <c r="Z168">
        <v>0</v>
      </c>
      <c r="AA168">
        <v>6.6255818659354107E-2</v>
      </c>
      <c r="AB168">
        <v>-16.263733363874653</v>
      </c>
      <c r="AC168">
        <v>144.58270754736449</v>
      </c>
      <c r="AD168">
        <v>85320.673205581377</v>
      </c>
      <c r="AE168">
        <v>0.23304556513736399</v>
      </c>
      <c r="AF168">
        <v>82.615456232507526</v>
      </c>
      <c r="AG168">
        <v>2.7052169730738678</v>
      </c>
      <c r="AH168">
        <v>61.059133239440563</v>
      </c>
      <c r="AI168">
        <v>38.13786676055944</v>
      </c>
      <c r="AJ168">
        <v>62.460543963183298</v>
      </c>
      <c r="AK168">
        <v>4.6319090638547298</v>
      </c>
      <c r="AL168">
        <v>-4.2857605585829877</v>
      </c>
      <c r="AM168">
        <v>-5.0929484241768659</v>
      </c>
      <c r="AN168">
        <v>-1.054243567932037</v>
      </c>
      <c r="AO168">
        <v>4.3204538026180108</v>
      </c>
      <c r="AP168">
        <v>2.4070686831192747</v>
      </c>
      <c r="AQ168" t="s">
        <v>330</v>
      </c>
      <c r="AR168" t="s">
        <v>330</v>
      </c>
      <c r="AS168">
        <v>2.4070686831192747</v>
      </c>
      <c r="AT168">
        <v>1.0080950028730709</v>
      </c>
      <c r="AU168">
        <v>0</v>
      </c>
      <c r="AV168">
        <v>0</v>
      </c>
      <c r="AW168">
        <v>0.11325966850828731</v>
      </c>
    </row>
    <row r="169" spans="2:49" ht="15" customHeight="1" x14ac:dyDescent="0.2">
      <c r="B169" t="s">
        <v>682</v>
      </c>
      <c r="C169" t="s">
        <v>683</v>
      </c>
      <c r="N169" t="s">
        <v>89</v>
      </c>
      <c r="O169">
        <v>140.12975406842054</v>
      </c>
      <c r="P169">
        <v>211.53532550558097</v>
      </c>
      <c r="Q169">
        <v>47.801781802538208</v>
      </c>
      <c r="R169" t="s">
        <v>1013</v>
      </c>
      <c r="S169">
        <v>0.81432397826314784</v>
      </c>
      <c r="T169">
        <v>1.1004418378636867</v>
      </c>
      <c r="U169">
        <v>5.6188062767779578E-3</v>
      </c>
      <c r="V169">
        <v>0.46478906858706071</v>
      </c>
      <c r="W169">
        <v>5.5324212665937011E-3</v>
      </c>
      <c r="X169">
        <v>0.18603232023428923</v>
      </c>
      <c r="Y169">
        <v>-0.8742181129436809</v>
      </c>
      <c r="Z169">
        <v>-0.71886389728252031</v>
      </c>
      <c r="AA169">
        <v>3.9104595568180446E-2</v>
      </c>
      <c r="AB169">
        <v>-3.0345060974725189</v>
      </c>
      <c r="AC169">
        <v>142.01707303021234</v>
      </c>
      <c r="AD169">
        <v>1401.2975406842054</v>
      </c>
      <c r="AE169">
        <v>73.622324330978586</v>
      </c>
      <c r="AF169">
        <v>95.755100467212372</v>
      </c>
      <c r="AG169">
        <v>44.374653601208145</v>
      </c>
      <c r="AH169">
        <v>135.13562995047658</v>
      </c>
      <c r="AI169">
        <v>9.2472405148526491</v>
      </c>
      <c r="AJ169">
        <v>6.8429770031662454</v>
      </c>
      <c r="AK169">
        <v>1.6105015063367969</v>
      </c>
      <c r="AL169">
        <v>-0.84958397272623642</v>
      </c>
      <c r="AM169">
        <v>-2.2870673241850454</v>
      </c>
      <c r="AN169">
        <v>-0.89597994756034427</v>
      </c>
      <c r="AO169">
        <v>0.58842790148788371</v>
      </c>
      <c r="AP169">
        <v>-7.2577550000000004</v>
      </c>
      <c r="AQ169" t="s">
        <v>330</v>
      </c>
      <c r="AR169">
        <v>-36.630426999999997</v>
      </c>
      <c r="AS169">
        <v>-7.2577550000000004</v>
      </c>
      <c r="AT169">
        <v>1.7315177792245569</v>
      </c>
      <c r="AU169">
        <v>0</v>
      </c>
      <c r="AV169">
        <v>0</v>
      </c>
      <c r="AW169">
        <v>0.34027777777777773</v>
      </c>
    </row>
    <row r="170" spans="2:49" ht="15" customHeight="1" x14ac:dyDescent="0.2">
      <c r="B170" t="s">
        <v>684</v>
      </c>
      <c r="C170" t="s">
        <v>685</v>
      </c>
      <c r="N170" t="s">
        <v>89</v>
      </c>
      <c r="O170">
        <v>132.04174038696172</v>
      </c>
      <c r="P170">
        <v>593.76810960998523</v>
      </c>
      <c r="Q170">
        <v>20.195439727738716</v>
      </c>
      <c r="R170" t="s">
        <v>1013</v>
      </c>
      <c r="S170">
        <v>0.87562496043820182</v>
      </c>
      <c r="T170">
        <v>0.98071345722901604</v>
      </c>
      <c r="U170">
        <v>4.6202025670951984E-3</v>
      </c>
      <c r="V170">
        <v>0.44429202004471879</v>
      </c>
      <c r="W170">
        <v>-5.7836745592503578E-3</v>
      </c>
      <c r="X170">
        <v>0</v>
      </c>
      <c r="Y170">
        <v>-1.2803454406407473</v>
      </c>
      <c r="Z170">
        <v>-0.69741879750724634</v>
      </c>
      <c r="AA170">
        <v>0.14898835919239969</v>
      </c>
      <c r="AB170">
        <v>9.0689052960590804</v>
      </c>
      <c r="AC170">
        <v>132.17534235629961</v>
      </c>
      <c r="AD170">
        <v>132041.74038696173</v>
      </c>
      <c r="AE170">
        <v>0.36158180124505729</v>
      </c>
      <c r="AF170">
        <v>94.324516812517516</v>
      </c>
      <c r="AG170">
        <v>37.717223574444212</v>
      </c>
      <c r="AH170">
        <v>112.00154193163054</v>
      </c>
      <c r="AI170">
        <v>8.045779675310996</v>
      </c>
      <c r="AJ170">
        <v>7.1823710293376806</v>
      </c>
      <c r="AK170">
        <v>1.8840244478434252</v>
      </c>
      <c r="AL170">
        <v>-0.69242000116479174</v>
      </c>
      <c r="AM170">
        <v>-1.5922975768339529</v>
      </c>
      <c r="AN170">
        <v>-0.61765487241183736</v>
      </c>
      <c r="AO170">
        <v>0.57669467977445243</v>
      </c>
      <c r="AP170">
        <v>-5.1768539999999996</v>
      </c>
      <c r="AQ170" t="s">
        <v>330</v>
      </c>
      <c r="AR170" t="s">
        <v>330</v>
      </c>
      <c r="AS170">
        <v>-5.1768539999999996</v>
      </c>
      <c r="AT170">
        <v>1.4575195515836992</v>
      </c>
      <c r="AU170">
        <v>4.6088331819253998</v>
      </c>
      <c r="AV170">
        <v>4.6088331819253998</v>
      </c>
      <c r="AW170">
        <v>0.57847222222222228</v>
      </c>
    </row>
    <row r="171" spans="2:49" ht="15" customHeight="1" x14ac:dyDescent="0.2">
      <c r="B171" t="s">
        <v>310</v>
      </c>
      <c r="C171" t="s">
        <v>349</v>
      </c>
      <c r="N171" t="s">
        <v>89</v>
      </c>
      <c r="O171">
        <v>103.38509113651988</v>
      </c>
      <c r="P171">
        <v>358.84128620650608</v>
      </c>
      <c r="Q171">
        <v>15.478510204315555</v>
      </c>
      <c r="R171" t="s">
        <v>1013</v>
      </c>
      <c r="S171">
        <v>0.30954210275305322</v>
      </c>
      <c r="T171">
        <v>0.15206178444720678</v>
      </c>
      <c r="U171">
        <v>4.4570056603311994E-3</v>
      </c>
      <c r="V171">
        <v>0.33502444204778292</v>
      </c>
      <c r="W171">
        <v>1.2198579111121944E-2</v>
      </c>
      <c r="X171">
        <v>0</v>
      </c>
      <c r="Y171">
        <v>-0.39364179388372444</v>
      </c>
      <c r="Z171">
        <v>-0.15990427540558388</v>
      </c>
      <c r="AA171">
        <v>0.12421665150183905</v>
      </c>
      <c r="AB171">
        <v>7.4083129901255012</v>
      </c>
      <c r="AC171">
        <v>145.41039839046297</v>
      </c>
      <c r="AD171">
        <v>103385.09113651987</v>
      </c>
      <c r="AE171">
        <v>5.6063592740966409E-2</v>
      </c>
      <c r="AF171">
        <v>95.83976494759446</v>
      </c>
      <c r="AG171">
        <v>7.5453261889254071</v>
      </c>
      <c r="AH171">
        <v>49.124750105002278</v>
      </c>
      <c r="AI171">
        <v>46.594345260245269</v>
      </c>
      <c r="AJ171">
        <v>94.835693011055042</v>
      </c>
      <c r="AK171">
        <v>3.9013233487411214</v>
      </c>
      <c r="AL171">
        <v>-1.5742473883695494</v>
      </c>
      <c r="AM171">
        <v>-2.3180317850023857</v>
      </c>
      <c r="AN171">
        <v>5.973910659022566E-2</v>
      </c>
      <c r="AO171">
        <v>1.6445348059770066</v>
      </c>
      <c r="AP171">
        <v>2.560543</v>
      </c>
      <c r="AQ171" t="s">
        <v>330</v>
      </c>
      <c r="AR171">
        <v>4.1522110864843462</v>
      </c>
      <c r="AS171">
        <v>4.1522110000000003</v>
      </c>
      <c r="AT171">
        <v>1.6714372270856404</v>
      </c>
      <c r="AU171">
        <v>29.125781184373572</v>
      </c>
      <c r="AV171">
        <v>29.125781184373572</v>
      </c>
      <c r="AW171">
        <v>0.38666666666666666</v>
      </c>
    </row>
    <row r="172" spans="2:49" ht="15" customHeight="1" x14ac:dyDescent="0.2">
      <c r="B172" t="s">
        <v>686</v>
      </c>
      <c r="C172" t="s">
        <v>687</v>
      </c>
      <c r="N172" t="s">
        <v>89</v>
      </c>
      <c r="O172">
        <v>107.406749123445</v>
      </c>
      <c r="P172">
        <v>384.98218122138127</v>
      </c>
      <c r="Q172">
        <v>51.663964135853377</v>
      </c>
      <c r="R172" t="s">
        <v>1013</v>
      </c>
      <c r="S172">
        <v>0.53201289542643038</v>
      </c>
      <c r="T172">
        <v>0.43151210111505711</v>
      </c>
      <c r="U172">
        <v>8.5462713669693588E-3</v>
      </c>
      <c r="V172">
        <v>0.44862131728132226</v>
      </c>
      <c r="W172">
        <v>-9.6974256151497688E-3</v>
      </c>
      <c r="X172">
        <v>0</v>
      </c>
      <c r="Y172">
        <v>-0.79991419918590678</v>
      </c>
      <c r="Z172">
        <v>0</v>
      </c>
      <c r="AA172">
        <v>9.4148963600002938E-2</v>
      </c>
      <c r="AB172">
        <v>-0.21902802056194345</v>
      </c>
      <c r="AC172">
        <v>0</v>
      </c>
      <c r="AD172">
        <v>1074.06749123445</v>
      </c>
      <c r="AE172">
        <v>1.8771008516400007</v>
      </c>
      <c r="AF172">
        <v>96.042398530921503</v>
      </c>
      <c r="AG172">
        <v>11.364350592523499</v>
      </c>
      <c r="AH172">
        <v>81.112507460060115</v>
      </c>
      <c r="AI172">
        <v>26.529142607536301</v>
      </c>
      <c r="AJ172">
        <v>32.706457965320254</v>
      </c>
      <c r="AK172">
        <v>2.3456823398203701</v>
      </c>
      <c r="AL172">
        <v>-0.90230744146253983</v>
      </c>
      <c r="AM172">
        <v>-1.5817204241552645</v>
      </c>
      <c r="AN172">
        <v>0.30215715592531123</v>
      </c>
      <c r="AO172">
        <v>0.83824849172492144</v>
      </c>
      <c r="AP172">
        <v>-2.637165</v>
      </c>
      <c r="AQ172" t="s">
        <v>330</v>
      </c>
      <c r="AR172">
        <v>-12.910005999999999</v>
      </c>
      <c r="AS172">
        <v>-2.637165</v>
      </c>
      <c r="AT172">
        <v>0.23225135170286695</v>
      </c>
      <c r="AU172">
        <v>106.11797015975944</v>
      </c>
      <c r="AV172">
        <v>106.11797015975944</v>
      </c>
      <c r="AW172">
        <v>0.1138888888888889</v>
      </c>
    </row>
    <row r="173" spans="2:49" ht="15" customHeight="1" x14ac:dyDescent="0.2">
      <c r="B173" t="s">
        <v>688</v>
      </c>
      <c r="C173" t="s">
        <v>689</v>
      </c>
      <c r="N173" t="s">
        <v>89</v>
      </c>
      <c r="O173">
        <v>99.435581735882451</v>
      </c>
      <c r="P173">
        <v>65.965620056578359</v>
      </c>
      <c r="Q173">
        <v>48.427348807552733</v>
      </c>
      <c r="R173" t="s">
        <v>1013</v>
      </c>
      <c r="S173">
        <v>0.12501924141611215</v>
      </c>
      <c r="T173">
        <v>8.6792326866097572E-2</v>
      </c>
      <c r="U173">
        <v>6.885753958205296E-3</v>
      </c>
      <c r="V173">
        <v>0.18677932202058145</v>
      </c>
      <c r="W173">
        <v>7.805801591137424E-3</v>
      </c>
      <c r="X173">
        <v>-0.10841565976516573</v>
      </c>
      <c r="Y173">
        <v>-0.13973181365593471</v>
      </c>
      <c r="Z173">
        <v>0</v>
      </c>
      <c r="AA173">
        <v>2.1724061460831747E-2</v>
      </c>
      <c r="AB173">
        <v>-3.5323555238476891</v>
      </c>
      <c r="AC173">
        <v>136.83619421648859</v>
      </c>
      <c r="AD173">
        <v>994355.81735882442</v>
      </c>
      <c r="AE173">
        <v>0.21272629133847445</v>
      </c>
      <c r="AF173">
        <v>99.532274789459947</v>
      </c>
      <c r="AG173">
        <v>-9.6693053577502727E-2</v>
      </c>
      <c r="AH173">
        <v>69.423175091279987</v>
      </c>
      <c r="AI173">
        <v>33.52482620689841</v>
      </c>
      <c r="AJ173">
        <v>48.290541004090038</v>
      </c>
      <c r="AK173">
        <v>2.0965011756236223</v>
      </c>
      <c r="AL173">
        <v>-2.1710039995439003</v>
      </c>
      <c r="AM173">
        <v>-2.4576745466461869</v>
      </c>
      <c r="AN173">
        <v>-0.29032314680922289</v>
      </c>
      <c r="AO173">
        <v>2.10883552817335</v>
      </c>
      <c r="AP173">
        <v>3.0793789999999999</v>
      </c>
      <c r="AQ173" t="s">
        <v>330</v>
      </c>
      <c r="AR173">
        <v>-14.233616802400439</v>
      </c>
      <c r="AS173">
        <v>3.0793789999999999</v>
      </c>
      <c r="AT173">
        <v>4.3711388273691574</v>
      </c>
      <c r="AU173">
        <v>0</v>
      </c>
      <c r="AV173">
        <v>0</v>
      </c>
      <c r="AW173">
        <v>0.4068493150684932</v>
      </c>
    </row>
    <row r="174" spans="2:49" ht="15" customHeight="1" x14ac:dyDescent="0.2">
      <c r="B174" t="s">
        <v>690</v>
      </c>
      <c r="C174" t="s">
        <v>691</v>
      </c>
      <c r="N174" t="s">
        <v>89</v>
      </c>
      <c r="O174">
        <v>135.43339099157743</v>
      </c>
      <c r="P174">
        <v>181.91288510927598</v>
      </c>
      <c r="Q174">
        <v>77.816690044240914</v>
      </c>
      <c r="R174" t="s">
        <v>1013</v>
      </c>
      <c r="S174">
        <v>0.6681436318938403</v>
      </c>
      <c r="T174">
        <v>0.81179348161115594</v>
      </c>
      <c r="U174">
        <v>4.7341465623339865E-3</v>
      </c>
      <c r="V174">
        <v>0.18963891139821953</v>
      </c>
      <c r="W174">
        <v>-2.2468059856464606E-2</v>
      </c>
      <c r="X174">
        <v>0</v>
      </c>
      <c r="Y174">
        <v>-0.24833925941182922</v>
      </c>
      <c r="Z174">
        <v>0</v>
      </c>
      <c r="AA174">
        <v>2.1269307681018989E-2</v>
      </c>
      <c r="AB174">
        <v>-1.5864691806736122</v>
      </c>
      <c r="AC174">
        <v>150.32140780770317</v>
      </c>
      <c r="AD174">
        <v>1354.333909915774</v>
      </c>
      <c r="AE174">
        <v>0.50631235257673901</v>
      </c>
      <c r="AF174">
        <v>83.701815041001268</v>
      </c>
      <c r="AG174">
        <v>51.731575950576151</v>
      </c>
      <c r="AH174">
        <v>121.25943895767213</v>
      </c>
      <c r="AI174">
        <v>16.322561042327862</v>
      </c>
      <c r="AJ174">
        <v>13.460858125877984</v>
      </c>
      <c r="AK174">
        <v>0.93658781018607917</v>
      </c>
      <c r="AL174">
        <v>-0.6716046769759032</v>
      </c>
      <c r="AM174">
        <v>-1.0851751744696685</v>
      </c>
      <c r="AN174">
        <v>-0.96409934066949388</v>
      </c>
      <c r="AO174">
        <v>0.48814865096880639</v>
      </c>
      <c r="AP174">
        <v>-11.209607999999999</v>
      </c>
      <c r="AQ174" t="s">
        <v>330</v>
      </c>
      <c r="AR174" t="s">
        <v>330</v>
      </c>
      <c r="AS174">
        <v>-11.209607999999999</v>
      </c>
      <c r="AT174">
        <v>0.36341963338227384</v>
      </c>
      <c r="AU174">
        <v>32.645122084655711</v>
      </c>
      <c r="AV174">
        <v>32.645122084655711</v>
      </c>
      <c r="AW174">
        <v>0.16666666666666666</v>
      </c>
    </row>
    <row r="175" spans="2:49" ht="15" customHeight="1" x14ac:dyDescent="0.2">
      <c r="B175" t="s">
        <v>692</v>
      </c>
      <c r="C175" t="s">
        <v>693</v>
      </c>
      <c r="N175" t="s">
        <v>89</v>
      </c>
      <c r="O175">
        <v>163.21149349027127</v>
      </c>
      <c r="P175" t="s">
        <v>330</v>
      </c>
      <c r="Q175" t="s">
        <v>330</v>
      </c>
      <c r="R175" t="s">
        <v>1013</v>
      </c>
      <c r="S175" t="s">
        <v>330</v>
      </c>
      <c r="T175" t="s">
        <v>330</v>
      </c>
      <c r="U175" t="s">
        <v>330</v>
      </c>
      <c r="V175" t="s">
        <v>330</v>
      </c>
      <c r="W175" t="s">
        <v>330</v>
      </c>
      <c r="X175" t="s">
        <v>330</v>
      </c>
      <c r="Y175" t="s">
        <v>330</v>
      </c>
      <c r="Z175" t="s">
        <v>330</v>
      </c>
      <c r="AA175" t="s">
        <v>330</v>
      </c>
      <c r="AB175">
        <v>-1.8230986348434701</v>
      </c>
      <c r="AC175">
        <v>150.69727908678772</v>
      </c>
      <c r="AD175">
        <v>1632.1149349027128</v>
      </c>
      <c r="AE175">
        <v>0.94623737081170645</v>
      </c>
      <c r="AF175">
        <v>92.253129940871645</v>
      </c>
      <c r="AG175">
        <v>70.958363549399621</v>
      </c>
      <c r="AH175">
        <v>160.33190892654417</v>
      </c>
      <c r="AI175">
        <v>5.8450101383972424</v>
      </c>
      <c r="AJ175">
        <v>3.6453396539747893</v>
      </c>
      <c r="AK175">
        <v>9.9969446319333452E-2</v>
      </c>
      <c r="AL175">
        <v>-1.5238930529108075E-2</v>
      </c>
      <c r="AM175">
        <v>-5.3588656221108977E-2</v>
      </c>
      <c r="AN175">
        <v>-3.742156409381687E-4</v>
      </c>
      <c r="AO175">
        <v>9.3369224208566162E-3</v>
      </c>
      <c r="AP175">
        <v>-38.855409999999999</v>
      </c>
      <c r="AQ175" t="s">
        <v>330</v>
      </c>
      <c r="AR175" t="s">
        <v>330</v>
      </c>
      <c r="AS175">
        <v>-38.855409999999999</v>
      </c>
      <c r="AT175">
        <v>0.30086589203728326</v>
      </c>
      <c r="AU175">
        <v>11.71018214691162</v>
      </c>
      <c r="AV175">
        <v>11.71018214691162</v>
      </c>
      <c r="AW175">
        <v>0.16666666666666666</v>
      </c>
    </row>
    <row r="176" spans="2:49" ht="15" customHeight="1" x14ac:dyDescent="0.2">
      <c r="B176" t="s">
        <v>694</v>
      </c>
      <c r="C176" t="s">
        <v>695</v>
      </c>
      <c r="N176" t="s">
        <v>89</v>
      </c>
      <c r="O176">
        <v>236.01277526218237</v>
      </c>
      <c r="P176">
        <v>406.80710914362118</v>
      </c>
      <c r="Q176">
        <v>74.237154446016731</v>
      </c>
      <c r="R176" t="s">
        <v>1013</v>
      </c>
      <c r="S176">
        <v>0.95391634149619475</v>
      </c>
      <c r="T176">
        <v>2.1836438936304301</v>
      </c>
      <c r="U176">
        <v>1.374078991987659E-3</v>
      </c>
      <c r="V176">
        <v>1.0303710401339914</v>
      </c>
      <c r="W176">
        <v>3.7494876640721485E-3</v>
      </c>
      <c r="X176">
        <v>0</v>
      </c>
      <c r="Y176">
        <v>-0.45382736671791563</v>
      </c>
      <c r="Z176">
        <v>0</v>
      </c>
      <c r="AA176">
        <v>1.9354604825581847E-2</v>
      </c>
      <c r="AB176">
        <v>0.25412830365478423</v>
      </c>
      <c r="AC176">
        <v>152.69005650904506</v>
      </c>
      <c r="AD176">
        <v>2360.1277526218237</v>
      </c>
      <c r="AE176">
        <v>1.3717145635684849</v>
      </c>
      <c r="AF176">
        <v>79.315339709207507</v>
      </c>
      <c r="AG176">
        <v>156.69743555297484</v>
      </c>
      <c r="AH176">
        <v>228.94233161132814</v>
      </c>
      <c r="AI176">
        <v>6.4706683886718679</v>
      </c>
      <c r="AJ176">
        <v>2.8263311302590477</v>
      </c>
      <c r="AK176">
        <v>0.70912915581112168</v>
      </c>
      <c r="AL176">
        <v>-1.6742672153177409</v>
      </c>
      <c r="AM176">
        <v>-8.9423905436360656</v>
      </c>
      <c r="AN176">
        <v>-1.7138025547464577</v>
      </c>
      <c r="AO176">
        <v>0.71120423057254312</v>
      </c>
      <c r="AP176">
        <v>-18.585467999999999</v>
      </c>
      <c r="AQ176" t="s">
        <v>330</v>
      </c>
      <c r="AR176" t="s">
        <v>330</v>
      </c>
      <c r="AS176">
        <v>-18.585467999999999</v>
      </c>
      <c r="AT176">
        <v>0.63717806578226344</v>
      </c>
      <c r="AU176">
        <v>4.3137789257812376</v>
      </c>
      <c r="AV176">
        <v>4.3137789257812376</v>
      </c>
      <c r="AW176">
        <v>0.49999999999999994</v>
      </c>
    </row>
    <row r="177" spans="2:49" ht="15" customHeight="1" x14ac:dyDescent="0.2">
      <c r="B177" t="s">
        <v>696</v>
      </c>
      <c r="C177" t="s">
        <v>697</v>
      </c>
      <c r="N177" t="s">
        <v>89</v>
      </c>
      <c r="O177">
        <v>109.66020399547629</v>
      </c>
      <c r="P177">
        <v>328.16302944378396</v>
      </c>
      <c r="Q177">
        <v>15.344807383326934</v>
      </c>
      <c r="R177" t="s">
        <v>1013</v>
      </c>
      <c r="S177">
        <v>0.8513433858482885</v>
      </c>
      <c r="T177">
        <v>0.90726404849618481</v>
      </c>
      <c r="U177">
        <v>2.5852058204529026E-2</v>
      </c>
      <c r="V177">
        <v>0.21344616076023612</v>
      </c>
      <c r="W177">
        <v>-7.3119885947562583E-3</v>
      </c>
      <c r="X177">
        <v>1.5843453936325258</v>
      </c>
      <c r="Y177">
        <v>-0.21880507051852816</v>
      </c>
      <c r="Z177">
        <v>0</v>
      </c>
      <c r="AA177">
        <v>1.6431905778671176E-2</v>
      </c>
      <c r="AB177">
        <v>1.1200088552880663</v>
      </c>
      <c r="AC177">
        <v>0</v>
      </c>
      <c r="AD177">
        <v>1096.6020399547629</v>
      </c>
      <c r="AE177">
        <v>1.3296823614779663</v>
      </c>
      <c r="AF177">
        <v>99.765680073210959</v>
      </c>
      <c r="AG177">
        <v>9.8945239222653303</v>
      </c>
      <c r="AH177">
        <v>106.59960722557068</v>
      </c>
      <c r="AI177">
        <v>1.863479755706777</v>
      </c>
      <c r="AJ177">
        <v>1.74862121706768</v>
      </c>
      <c r="AK177">
        <v>0.33095973738125484</v>
      </c>
      <c r="AL177">
        <v>-0.12030597793432207</v>
      </c>
      <c r="AM177">
        <v>-0.44310125576271275</v>
      </c>
      <c r="AN177">
        <v>6.245239049242895E-3</v>
      </c>
      <c r="AO177">
        <v>0.11095062152715257</v>
      </c>
      <c r="AP177">
        <v>-15.168036000000001</v>
      </c>
      <c r="AQ177" t="s">
        <v>330</v>
      </c>
      <c r="AR177" t="s">
        <v>330</v>
      </c>
      <c r="AS177">
        <v>-15.168036000000001</v>
      </c>
      <c r="AT177">
        <v>3.5736682898037482</v>
      </c>
      <c r="AU177">
        <v>0</v>
      </c>
      <c r="AV177">
        <v>0</v>
      </c>
      <c r="AW177">
        <v>0.32291666666666669</v>
      </c>
    </row>
    <row r="178" spans="2:49" ht="15" customHeight="1" x14ac:dyDescent="0.2">
      <c r="B178" t="s">
        <v>698</v>
      </c>
      <c r="C178" t="s">
        <v>699</v>
      </c>
      <c r="N178" t="s">
        <v>89</v>
      </c>
      <c r="O178">
        <v>102.51163656873011</v>
      </c>
      <c r="P178">
        <v>103.63071505617073</v>
      </c>
      <c r="Q178">
        <v>70.622084579252771</v>
      </c>
      <c r="R178" t="s">
        <v>1013</v>
      </c>
      <c r="S178">
        <v>0.44465387533325779</v>
      </c>
      <c r="T178">
        <v>0.3106731057638682</v>
      </c>
      <c r="U178">
        <v>4.4929583095310041E-3</v>
      </c>
      <c r="V178">
        <v>0.30859635256443879</v>
      </c>
      <c r="W178">
        <v>7.8301220598859795E-4</v>
      </c>
      <c r="X178">
        <v>0</v>
      </c>
      <c r="Y178">
        <v>-0.37423408497423433</v>
      </c>
      <c r="Z178">
        <v>0</v>
      </c>
      <c r="AA178">
        <v>2.877039239483525E-2</v>
      </c>
      <c r="AB178">
        <v>-5.9040745361742761</v>
      </c>
      <c r="AC178">
        <v>145.26047010728925</v>
      </c>
      <c r="AD178">
        <v>1025.1163656873011</v>
      </c>
      <c r="AE178">
        <v>0.55718500347393385</v>
      </c>
      <c r="AF178">
        <v>90.657573633436968</v>
      </c>
      <c r="AG178">
        <v>11.854062935293133</v>
      </c>
      <c r="AH178">
        <v>69.874791273536687</v>
      </c>
      <c r="AI178">
        <v>38.689208726463306</v>
      </c>
      <c r="AJ178">
        <v>55.369337097563353</v>
      </c>
      <c r="AK178">
        <v>1.8821160077560251</v>
      </c>
      <c r="AL178">
        <v>-1.4940944050969165</v>
      </c>
      <c r="AM178">
        <v>-2.1308987009704197</v>
      </c>
      <c r="AN178">
        <v>5.9368708164417895E-2</v>
      </c>
      <c r="AO178">
        <v>1.376233747003534</v>
      </c>
      <c r="AP178">
        <v>-1.2657830000000001</v>
      </c>
      <c r="AQ178" t="s">
        <v>330</v>
      </c>
      <c r="AR178" t="s">
        <v>330</v>
      </c>
      <c r="AS178">
        <v>-1.2657830000000001</v>
      </c>
      <c r="AT178">
        <v>2.4179285951144029</v>
      </c>
      <c r="AU178">
        <v>14.738746181509828</v>
      </c>
      <c r="AV178">
        <v>14.738746181509828</v>
      </c>
      <c r="AW178">
        <v>0.87499999999999989</v>
      </c>
    </row>
    <row r="179" spans="2:49" ht="15" customHeight="1" x14ac:dyDescent="0.2">
      <c r="B179" t="s">
        <v>700</v>
      </c>
      <c r="C179" t="s">
        <v>701</v>
      </c>
      <c r="N179" t="s">
        <v>89</v>
      </c>
      <c r="O179">
        <v>112.57878477204473</v>
      </c>
      <c r="P179">
        <v>23.757169665676905</v>
      </c>
      <c r="Q179">
        <v>26.195690247524517</v>
      </c>
      <c r="R179" t="s">
        <v>1013</v>
      </c>
      <c r="S179">
        <v>0.62112398022591231</v>
      </c>
      <c r="T179">
        <v>0.56749871082268477</v>
      </c>
      <c r="U179">
        <v>6.1679539688879294E-3</v>
      </c>
      <c r="V179">
        <v>0.86654004741833346</v>
      </c>
      <c r="W179">
        <v>-1.0540270163328386E-3</v>
      </c>
      <c r="X179">
        <v>-1.9768496063230929</v>
      </c>
      <c r="Y179">
        <v>-2.3727102468200405</v>
      </c>
      <c r="Z179">
        <v>0</v>
      </c>
      <c r="AA179">
        <v>2.223101830785108E-2</v>
      </c>
      <c r="AB179">
        <v>-1.0163684305814125</v>
      </c>
      <c r="AC179">
        <v>137.57078267407337</v>
      </c>
      <c r="AD179">
        <v>112578.78477204472</v>
      </c>
      <c r="AE179">
        <v>0.39056929940617635</v>
      </c>
      <c r="AF179">
        <v>90.887342302290918</v>
      </c>
      <c r="AG179">
        <v>21.691442469753806</v>
      </c>
      <c r="AH179">
        <v>91.366414578982557</v>
      </c>
      <c r="AI179">
        <v>22.356585421017442</v>
      </c>
      <c r="AJ179">
        <v>24.469150424734114</v>
      </c>
      <c r="AK179">
        <v>6.8298311895199388</v>
      </c>
      <c r="AL179">
        <v>-4.4013411974393968</v>
      </c>
      <c r="AM179">
        <v>-7.2167085760238114</v>
      </c>
      <c r="AN179">
        <v>0.1506732157987164</v>
      </c>
      <c r="AO179">
        <v>3.8702295907067144</v>
      </c>
      <c r="AP179">
        <v>-0.26669446554451598</v>
      </c>
      <c r="AQ179" t="s">
        <v>330</v>
      </c>
      <c r="AR179" t="s">
        <v>330</v>
      </c>
      <c r="AS179">
        <v>-0.26669446554451598</v>
      </c>
      <c r="AT179">
        <v>1.3189943986704535</v>
      </c>
      <c r="AU179">
        <v>0</v>
      </c>
      <c r="AV179">
        <v>0</v>
      </c>
      <c r="AW179">
        <v>0.46721311475409832</v>
      </c>
    </row>
    <row r="180" spans="2:49" ht="15" customHeight="1" x14ac:dyDescent="0.2">
      <c r="B180" t="s">
        <v>702</v>
      </c>
      <c r="C180" t="s">
        <v>703</v>
      </c>
      <c r="N180" t="s">
        <v>89</v>
      </c>
      <c r="O180">
        <v>281.44273534879147</v>
      </c>
      <c r="P180" t="s">
        <v>330</v>
      </c>
      <c r="Q180" t="s">
        <v>330</v>
      </c>
      <c r="R180" t="s">
        <v>1013</v>
      </c>
      <c r="S180" t="s">
        <v>330</v>
      </c>
      <c r="T180" t="s">
        <v>330</v>
      </c>
      <c r="U180" t="s">
        <v>330</v>
      </c>
      <c r="V180" t="s">
        <v>330</v>
      </c>
      <c r="W180" t="s">
        <v>330</v>
      </c>
      <c r="X180" t="s">
        <v>330</v>
      </c>
      <c r="Y180" t="s">
        <v>330</v>
      </c>
      <c r="Z180" t="s">
        <v>330</v>
      </c>
      <c r="AA180" t="s">
        <v>330</v>
      </c>
      <c r="AB180">
        <v>0.87610552311315337</v>
      </c>
      <c r="AC180">
        <v>150.27442249928055</v>
      </c>
      <c r="AD180">
        <v>2814.4273534879148</v>
      </c>
      <c r="AE180">
        <v>1.8629364548362723</v>
      </c>
      <c r="AF180">
        <v>89.192258110434508</v>
      </c>
      <c r="AG180">
        <v>192.25047723835692</v>
      </c>
      <c r="AH180">
        <v>279.88132000000002</v>
      </c>
      <c r="AI180">
        <v>-0.90432000000004109</v>
      </c>
      <c r="AJ180">
        <v>-0.32310838036637851</v>
      </c>
      <c r="AK180">
        <v>1.0460089366164358</v>
      </c>
      <c r="AL180">
        <v>-4.4607357008089821E-2</v>
      </c>
      <c r="AM180">
        <v>-4.590839951288217E-2</v>
      </c>
      <c r="AN180">
        <v>7.2526876834734446E-4</v>
      </c>
      <c r="AO180">
        <v>1.584953221578379E-2</v>
      </c>
      <c r="AP180">
        <v>-47.258046999999998</v>
      </c>
      <c r="AQ180" t="s">
        <v>330</v>
      </c>
      <c r="AR180" t="s">
        <v>330</v>
      </c>
      <c r="AS180">
        <v>-47.258046999999998</v>
      </c>
      <c r="AT180">
        <v>0.40325905002921386</v>
      </c>
      <c r="AU180">
        <v>0</v>
      </c>
      <c r="AV180">
        <v>0</v>
      </c>
      <c r="AW180">
        <v>0.13749999999999998</v>
      </c>
    </row>
    <row r="181" spans="2:49" ht="15" customHeight="1" x14ac:dyDescent="0.2">
      <c r="B181" t="s">
        <v>704</v>
      </c>
      <c r="C181" t="s">
        <v>705</v>
      </c>
      <c r="N181" t="s">
        <v>89</v>
      </c>
      <c r="O181">
        <v>120.09856094678915</v>
      </c>
      <c r="P181">
        <v>261.05483616843975</v>
      </c>
      <c r="Q181">
        <v>68.317155053978198</v>
      </c>
      <c r="R181" t="s">
        <v>1013</v>
      </c>
      <c r="S181">
        <v>0.72254136526644408</v>
      </c>
      <c r="T181">
        <v>0.69338132717950507</v>
      </c>
      <c r="U181">
        <v>3.3946994867223006E-3</v>
      </c>
      <c r="V181">
        <v>0.43423835939441913</v>
      </c>
      <c r="W181">
        <v>-5.8748521349116347E-3</v>
      </c>
      <c r="X181">
        <v>0</v>
      </c>
      <c r="Y181">
        <v>-0.92422521054466589</v>
      </c>
      <c r="Z181">
        <v>0</v>
      </c>
      <c r="AA181">
        <v>8.1061135709412105E-2</v>
      </c>
      <c r="AB181">
        <v>-2.7247945582468156</v>
      </c>
      <c r="AC181">
        <v>148.45859074845299</v>
      </c>
      <c r="AD181">
        <v>1200.9856094678914</v>
      </c>
      <c r="AE181">
        <v>3.4300327544597686</v>
      </c>
      <c r="AF181">
        <v>80.26181143360111</v>
      </c>
      <c r="AG181">
        <v>39.836749513188039</v>
      </c>
      <c r="AH181">
        <v>96.035400681037927</v>
      </c>
      <c r="AI181">
        <v>27.335599318962068</v>
      </c>
      <c r="AJ181">
        <v>28.464086290170965</v>
      </c>
      <c r="AK181">
        <v>2.442435474216893</v>
      </c>
      <c r="AL181">
        <v>-1.5508998572259998</v>
      </c>
      <c r="AM181">
        <v>-2.4796203647611037</v>
      </c>
      <c r="AN181">
        <v>-0.19119737215469521</v>
      </c>
      <c r="AO181">
        <v>1.2571024448419807</v>
      </c>
      <c r="AP181">
        <v>-5.5721540000000003</v>
      </c>
      <c r="AQ181" t="s">
        <v>330</v>
      </c>
      <c r="AR181" t="s">
        <v>330</v>
      </c>
      <c r="AS181">
        <v>-5.5721540000000003</v>
      </c>
      <c r="AT181">
        <v>0.50660203775603674</v>
      </c>
      <c r="AU181">
        <v>43.73695891033929</v>
      </c>
      <c r="AV181">
        <v>43.73695891033929</v>
      </c>
      <c r="AW181">
        <v>7.6388888888888895E-2</v>
      </c>
    </row>
    <row r="182" spans="2:49" ht="15" customHeight="1" x14ac:dyDescent="0.2">
      <c r="B182" t="s">
        <v>706</v>
      </c>
      <c r="C182" t="s">
        <v>707</v>
      </c>
      <c r="N182" t="s">
        <v>89</v>
      </c>
      <c r="O182">
        <v>154.73420813900083</v>
      </c>
      <c r="P182">
        <v>2755.2734140688108</v>
      </c>
      <c r="Q182" t="s">
        <v>330</v>
      </c>
      <c r="R182" t="s">
        <v>1013</v>
      </c>
      <c r="S182">
        <v>0.91895356598284117</v>
      </c>
      <c r="T182">
        <v>1.3274277189940786</v>
      </c>
      <c r="U182">
        <v>-5.9149955812024457E-4</v>
      </c>
      <c r="V182">
        <v>2.7088879652751529E-3</v>
      </c>
      <c r="W182">
        <v>8.43147833072635E-3</v>
      </c>
      <c r="X182">
        <v>0</v>
      </c>
      <c r="Y182">
        <v>-2.0337958818707436</v>
      </c>
      <c r="Z182">
        <v>0</v>
      </c>
      <c r="AA182">
        <v>0.347040188069483</v>
      </c>
      <c r="AB182">
        <v>0.7187862027262224</v>
      </c>
      <c r="AC182">
        <v>141.24753163103935</v>
      </c>
      <c r="AD182">
        <v>1547.3420813900084</v>
      </c>
      <c r="AE182">
        <v>0.84781751597731592</v>
      </c>
      <c r="AF182">
        <v>87.995619925818588</v>
      </c>
      <c r="AG182">
        <v>66.738588213182211</v>
      </c>
      <c r="AH182">
        <v>144.449923057251</v>
      </c>
      <c r="AI182">
        <v>9.1720769427490154</v>
      </c>
      <c r="AJ182">
        <v>6.3496585866049742</v>
      </c>
      <c r="AK182">
        <v>1.4166122068315274</v>
      </c>
      <c r="AL182">
        <v>-0.18586114992751845</v>
      </c>
      <c r="AM182">
        <v>-0.10365530341368867</v>
      </c>
      <c r="AN182">
        <v>0.26549824907055147</v>
      </c>
      <c r="AO182">
        <v>0.12098602408998609</v>
      </c>
      <c r="AP182">
        <v>-10.3413</v>
      </c>
      <c r="AQ182" t="s">
        <v>330</v>
      </c>
      <c r="AR182" t="s">
        <v>330</v>
      </c>
      <c r="AS182">
        <v>-10.3413</v>
      </c>
      <c r="AT182">
        <v>2.034213849578836</v>
      </c>
      <c r="AU182">
        <v>2.9350646216796887</v>
      </c>
      <c r="AV182">
        <v>2.9350646216796887</v>
      </c>
      <c r="AW182">
        <v>0.78125</v>
      </c>
    </row>
    <row r="183" spans="2:49" ht="15" customHeight="1" x14ac:dyDescent="0.2">
      <c r="B183" t="s">
        <v>708</v>
      </c>
      <c r="C183" t="s">
        <v>709</v>
      </c>
      <c r="N183" t="s">
        <v>89</v>
      </c>
      <c r="O183">
        <v>92.627122753247164</v>
      </c>
      <c r="P183">
        <v>151.14452872824296</v>
      </c>
      <c r="Q183">
        <v>58.76571907619352</v>
      </c>
      <c r="R183" t="s">
        <v>1013</v>
      </c>
      <c r="S183">
        <v>0.28347355219420806</v>
      </c>
      <c r="T183">
        <v>0.150438460386142</v>
      </c>
      <c r="U183">
        <v>5.3921652837083433E-3</v>
      </c>
      <c r="V183">
        <v>0.27483339128461354</v>
      </c>
      <c r="W183">
        <v>6.7473783536229348E-3</v>
      </c>
      <c r="X183">
        <v>3.4413934878211538E-2</v>
      </c>
      <c r="Y183">
        <v>-0.35916450264654026</v>
      </c>
      <c r="Z183">
        <v>0</v>
      </c>
      <c r="AA183">
        <v>4.879597439526813E-2</v>
      </c>
      <c r="AB183">
        <v>-5.331998986851521</v>
      </c>
      <c r="AC183">
        <v>142.51385125502313</v>
      </c>
      <c r="AD183">
        <v>926.2712275324717</v>
      </c>
      <c r="AE183">
        <v>0.23331671117830766</v>
      </c>
      <c r="AF183">
        <v>89.937962494010478</v>
      </c>
      <c r="AG183">
        <v>2.6891602592366897</v>
      </c>
      <c r="AH183">
        <v>53.155865000000006</v>
      </c>
      <c r="AI183">
        <v>44.397821401062011</v>
      </c>
      <c r="AJ183">
        <v>83.50449944122937</v>
      </c>
      <c r="AK183">
        <v>2.0348184666522657</v>
      </c>
      <c r="AL183">
        <v>-1.5686923207961172</v>
      </c>
      <c r="AM183">
        <v>-2.1329677022422402</v>
      </c>
      <c r="AN183">
        <v>0.13086066446927683</v>
      </c>
      <c r="AO183">
        <v>1.6078268257344948</v>
      </c>
      <c r="AP183">
        <v>1.293822</v>
      </c>
      <c r="AQ183" t="s">
        <v>330</v>
      </c>
      <c r="AR183">
        <v>2.2841</v>
      </c>
      <c r="AS183">
        <v>2.2841</v>
      </c>
      <c r="AT183">
        <v>0.76871041141381224</v>
      </c>
      <c r="AU183">
        <v>0</v>
      </c>
      <c r="AV183">
        <v>0</v>
      </c>
      <c r="AW183">
        <v>0.27916666666666667</v>
      </c>
    </row>
    <row r="184" spans="2:49" ht="15" customHeight="1" x14ac:dyDescent="0.2">
      <c r="B184" t="s">
        <v>710</v>
      </c>
      <c r="C184" t="s">
        <v>711</v>
      </c>
      <c r="N184" t="s">
        <v>89</v>
      </c>
      <c r="O184">
        <v>98.75238075072663</v>
      </c>
      <c r="P184">
        <v>79.471357019043467</v>
      </c>
      <c r="Q184">
        <v>63.43481581428891</v>
      </c>
      <c r="R184" t="s">
        <v>1013</v>
      </c>
      <c r="S184">
        <v>1.5677728868142882E-2</v>
      </c>
      <c r="T184">
        <v>3.630322533498469E-3</v>
      </c>
      <c r="U184">
        <v>8.6866433202294907E-4</v>
      </c>
      <c r="V184">
        <v>1.012231364328909E-2</v>
      </c>
      <c r="W184">
        <v>1.3056246809646836E-2</v>
      </c>
      <c r="X184">
        <v>0</v>
      </c>
      <c r="Y184">
        <v>-7.8757145090556074E-3</v>
      </c>
      <c r="Z184">
        <v>-3.5992889144512105E-3</v>
      </c>
      <c r="AA184">
        <v>7.3676097320642285E-3</v>
      </c>
      <c r="AB184">
        <v>-0.12214313048091992</v>
      </c>
      <c r="AC184">
        <v>0</v>
      </c>
      <c r="AD184">
        <v>98752.380750726632</v>
      </c>
      <c r="AE184">
        <v>2.8255710930663539E-2</v>
      </c>
      <c r="AF184">
        <v>98.787997229225638</v>
      </c>
      <c r="AG184">
        <v>-3.5616478499010555E-2</v>
      </c>
      <c r="AH184">
        <v>23.155921141583701</v>
      </c>
      <c r="AI184">
        <v>75.717078504731305</v>
      </c>
      <c r="AJ184">
        <v>326.98797376818749</v>
      </c>
      <c r="AK184">
        <v>2.4861527986352288</v>
      </c>
      <c r="AL184">
        <v>-0.53185327733663146</v>
      </c>
      <c r="AM184">
        <v>-0.62538282471374262</v>
      </c>
      <c r="AN184">
        <v>-3.9520435128720804E-2</v>
      </c>
      <c r="AO184">
        <v>0.53791558599074718</v>
      </c>
      <c r="AP184">
        <v>1.1574690000000001</v>
      </c>
      <c r="AQ184" t="s">
        <v>330</v>
      </c>
      <c r="AR184">
        <v>4.6096856582217516</v>
      </c>
      <c r="AS184">
        <v>4.609686</v>
      </c>
      <c r="AT184">
        <v>0</v>
      </c>
      <c r="AU184">
        <v>0</v>
      </c>
      <c r="AV184">
        <v>0</v>
      </c>
      <c r="AW184">
        <v>0</v>
      </c>
    </row>
    <row r="185" spans="2:49" ht="15" customHeight="1" x14ac:dyDescent="0.2">
      <c r="B185" t="s">
        <v>712</v>
      </c>
      <c r="C185" t="s">
        <v>713</v>
      </c>
      <c r="N185" t="s">
        <v>89</v>
      </c>
      <c r="O185">
        <v>108.96964368884707</v>
      </c>
      <c r="P185">
        <v>610.73200228688029</v>
      </c>
      <c r="Q185">
        <v>48.391201474626975</v>
      </c>
      <c r="R185" t="s">
        <v>1013</v>
      </c>
      <c r="S185">
        <v>0.64187080759494775</v>
      </c>
      <c r="T185">
        <v>0.45994065021895053</v>
      </c>
      <c r="U185">
        <v>4.2041215437620934E-3</v>
      </c>
      <c r="V185">
        <v>0.54359957955026039</v>
      </c>
      <c r="W185">
        <v>1.619674815054168E-3</v>
      </c>
      <c r="X185">
        <v>7.0738147081258973E-2</v>
      </c>
      <c r="Y185">
        <v>-2.2165977626060664</v>
      </c>
      <c r="Z185">
        <v>-0.41548618245982399</v>
      </c>
      <c r="AA185">
        <v>0.28446454938177407</v>
      </c>
      <c r="AB185">
        <v>5.531488848452585</v>
      </c>
      <c r="AC185">
        <v>0</v>
      </c>
      <c r="AD185">
        <v>217939.28737769413</v>
      </c>
      <c r="AE185">
        <v>7.99198835567549</v>
      </c>
      <c r="AF185">
        <v>86.038401177997201</v>
      </c>
      <c r="AG185">
        <v>22.931242510849859</v>
      </c>
      <c r="AH185">
        <v>71.656265525195209</v>
      </c>
      <c r="AI185">
        <v>31.28619264894472</v>
      </c>
      <c r="AJ185">
        <v>43.661768397455603</v>
      </c>
      <c r="AK185">
        <v>4.6239169835689911</v>
      </c>
      <c r="AL185">
        <v>-1.5836609235259675</v>
      </c>
      <c r="AM185">
        <v>-2.6422385692980606</v>
      </c>
      <c r="AN185">
        <v>8.8018681174835689E-2</v>
      </c>
      <c r="AO185">
        <v>1.5384011613587918</v>
      </c>
      <c r="AP185">
        <v>2.8202999999999999E-2</v>
      </c>
      <c r="AQ185" t="s">
        <v>330</v>
      </c>
      <c r="AR185">
        <v>-0.798037</v>
      </c>
      <c r="AS185">
        <v>2.8202999999999999E-2</v>
      </c>
      <c r="AT185">
        <v>0.48571040003108545</v>
      </c>
      <c r="AU185">
        <v>0</v>
      </c>
      <c r="AV185">
        <v>0</v>
      </c>
      <c r="AW185">
        <v>0.12638888888888888</v>
      </c>
    </row>
    <row r="186" spans="2:49" ht="15" customHeight="1" x14ac:dyDescent="0.2">
      <c r="B186" t="s">
        <v>714</v>
      </c>
      <c r="C186" t="s">
        <v>715</v>
      </c>
      <c r="N186" t="s">
        <v>89</v>
      </c>
      <c r="O186">
        <v>111.29835431735079</v>
      </c>
      <c r="P186">
        <v>278.24148560286005</v>
      </c>
      <c r="Q186">
        <v>59.112414773246826</v>
      </c>
      <c r="R186" t="s">
        <v>1013</v>
      </c>
      <c r="S186">
        <v>0.7159981414274057</v>
      </c>
      <c r="T186">
        <v>0.63395444333888262</v>
      </c>
      <c r="U186">
        <v>3.5308537480084048E-3</v>
      </c>
      <c r="V186">
        <v>0.46553049260073748</v>
      </c>
      <c r="W186">
        <v>-1.3141174566499102E-3</v>
      </c>
      <c r="X186">
        <v>0.3116048790450221</v>
      </c>
      <c r="Y186">
        <v>-1.195872594644414</v>
      </c>
      <c r="Z186">
        <v>0</v>
      </c>
      <c r="AA186">
        <v>0.12051693175339255</v>
      </c>
      <c r="AB186">
        <v>-3.2315353669955513</v>
      </c>
      <c r="AC186">
        <v>145.62394775589928</v>
      </c>
      <c r="AD186">
        <v>1112.9835431735078</v>
      </c>
      <c r="AE186">
        <v>0.46395811637113982</v>
      </c>
      <c r="AF186">
        <v>76.365106517649693</v>
      </c>
      <c r="AG186">
        <v>34.933247799701093</v>
      </c>
      <c r="AH186">
        <v>88.541353204498307</v>
      </c>
      <c r="AI186">
        <v>26.353646795501689</v>
      </c>
      <c r="AJ186">
        <v>29.764224107388955</v>
      </c>
      <c r="AK186">
        <v>3.1728821197654056</v>
      </c>
      <c r="AL186">
        <v>-1.9658757812916292</v>
      </c>
      <c r="AM186">
        <v>-3.0978217438866977</v>
      </c>
      <c r="AN186">
        <v>-0.36766476827874817</v>
      </c>
      <c r="AO186">
        <v>1.7110194362606115</v>
      </c>
      <c r="AP186">
        <v>-1.8219620000000001</v>
      </c>
      <c r="AQ186" t="s">
        <v>330</v>
      </c>
      <c r="AR186" t="s">
        <v>330</v>
      </c>
      <c r="AS186">
        <v>-1.8219620000000001</v>
      </c>
      <c r="AT186">
        <v>1.0879498672701164</v>
      </c>
      <c r="AU186">
        <v>69.86611628757008</v>
      </c>
      <c r="AV186">
        <v>45.647680429118999</v>
      </c>
      <c r="AW186">
        <v>0.46527777777777785</v>
      </c>
    </row>
    <row r="187" spans="2:49" ht="15" customHeight="1" x14ac:dyDescent="0.2">
      <c r="B187" t="s">
        <v>716</v>
      </c>
      <c r="C187" t="s">
        <v>717</v>
      </c>
      <c r="N187" t="s">
        <v>89</v>
      </c>
      <c r="O187">
        <v>131.60138294747927</v>
      </c>
      <c r="P187">
        <v>91.577492395543359</v>
      </c>
      <c r="Q187">
        <v>29.881691625928969</v>
      </c>
      <c r="R187" t="s">
        <v>1013</v>
      </c>
      <c r="S187">
        <v>0.75713566122222953</v>
      </c>
      <c r="T187">
        <v>0.92664349258937595</v>
      </c>
      <c r="U187">
        <v>5.0748435623661934E-3</v>
      </c>
      <c r="V187">
        <v>0.53650782894618165</v>
      </c>
      <c r="W187">
        <v>-1.7563604016177124E-3</v>
      </c>
      <c r="X187">
        <v>0.29075973384953163</v>
      </c>
      <c r="Y187">
        <v>-1.6607968757292841</v>
      </c>
      <c r="Z187">
        <v>-0.71489895864306208</v>
      </c>
      <c r="AA187">
        <v>2.6393954105787935E-2</v>
      </c>
      <c r="AB187">
        <v>1.0154778905421107</v>
      </c>
      <c r="AC187">
        <v>0</v>
      </c>
      <c r="AD187">
        <v>131601.38294747926</v>
      </c>
      <c r="AE187">
        <v>1.9377741422527968</v>
      </c>
      <c r="AF187">
        <v>91.154724243670799</v>
      </c>
      <c r="AG187">
        <v>40.446658703808467</v>
      </c>
      <c r="AH187">
        <v>122.38803956130043</v>
      </c>
      <c r="AI187">
        <v>7.5645621441193782</v>
      </c>
      <c r="AJ187">
        <v>6.1650653219383234</v>
      </c>
      <c r="AK187">
        <v>2.3825275510752428</v>
      </c>
      <c r="AL187">
        <v>-0.87240836092714746</v>
      </c>
      <c r="AM187">
        <v>-4.0264613928357722</v>
      </c>
      <c r="AN187">
        <v>-0.17193919010871292</v>
      </c>
      <c r="AO187">
        <v>0.66971815984888305</v>
      </c>
      <c r="AP187">
        <v>-10.331137</v>
      </c>
      <c r="AQ187" t="s">
        <v>330</v>
      </c>
      <c r="AR187" t="s">
        <v>330</v>
      </c>
      <c r="AS187">
        <v>-10.331137</v>
      </c>
      <c r="AT187">
        <v>0</v>
      </c>
      <c r="AU187">
        <v>0</v>
      </c>
      <c r="AV187">
        <v>0</v>
      </c>
      <c r="AW187">
        <v>0</v>
      </c>
    </row>
    <row r="188" spans="2:49" ht="15" customHeight="1" x14ac:dyDescent="0.2">
      <c r="B188" t="s">
        <v>718</v>
      </c>
      <c r="C188" t="s">
        <v>719</v>
      </c>
      <c r="N188" t="s">
        <v>89</v>
      </c>
      <c r="O188">
        <v>125.66725761493673</v>
      </c>
      <c r="P188">
        <v>502.20730764040474</v>
      </c>
      <c r="Q188">
        <v>38.753315220600292</v>
      </c>
      <c r="R188" t="s">
        <v>1013</v>
      </c>
      <c r="S188">
        <v>0.78178180955920573</v>
      </c>
      <c r="T188">
        <v>0.80375496691304116</v>
      </c>
      <c r="U188">
        <v>5.400843711738045E-3</v>
      </c>
      <c r="V188">
        <v>0.62710839620819314</v>
      </c>
      <c r="W188">
        <v>-3.0935706093208866E-3</v>
      </c>
      <c r="X188">
        <v>0</v>
      </c>
      <c r="Y188">
        <v>-1.5313377191904674</v>
      </c>
      <c r="Z188">
        <v>0</v>
      </c>
      <c r="AA188">
        <v>0.17208352653458273</v>
      </c>
      <c r="AB188">
        <v>2.6468769018011731</v>
      </c>
      <c r="AC188">
        <v>143.23387825519188</v>
      </c>
      <c r="AD188">
        <v>1256672.5761493673</v>
      </c>
      <c r="AE188">
        <v>28.912049169533855</v>
      </c>
      <c r="AF188">
        <v>93.259855929816325</v>
      </c>
      <c r="AG188">
        <v>32.407401685120405</v>
      </c>
      <c r="AH188">
        <v>102.81065088559998</v>
      </c>
      <c r="AI188">
        <v>19.530350172470605</v>
      </c>
      <c r="AJ188">
        <v>18.99642712621101</v>
      </c>
      <c r="AK188">
        <v>3.0591099470136145</v>
      </c>
      <c r="AL188">
        <v>-1.4716088168496499</v>
      </c>
      <c r="AM188">
        <v>-2.7549117717337794</v>
      </c>
      <c r="AN188">
        <v>-0.28724787652308253</v>
      </c>
      <c r="AO188">
        <v>1.2028746020137566</v>
      </c>
      <c r="AP188">
        <v>-0.88963845339767011</v>
      </c>
      <c r="AQ188" t="s">
        <v>330</v>
      </c>
      <c r="AR188">
        <v>-4.3613672319110401</v>
      </c>
      <c r="AS188">
        <v>-0.88963800000000004</v>
      </c>
      <c r="AT188">
        <v>3.2286804914133445</v>
      </c>
      <c r="AU188">
        <v>4.9443921808607616</v>
      </c>
      <c r="AV188">
        <v>4.9443921808607616</v>
      </c>
      <c r="AW188">
        <v>1.8981944444444443</v>
      </c>
    </row>
    <row r="189" spans="2:49" ht="15" customHeight="1" x14ac:dyDescent="0.2">
      <c r="B189" t="s">
        <v>720</v>
      </c>
      <c r="C189" t="s">
        <v>721</v>
      </c>
      <c r="N189" t="s">
        <v>89</v>
      </c>
      <c r="O189">
        <v>93.008035144748249</v>
      </c>
      <c r="P189">
        <v>557.00937523081996</v>
      </c>
      <c r="Q189">
        <v>52.275300729428622</v>
      </c>
      <c r="R189" t="s">
        <v>1013</v>
      </c>
      <c r="S189">
        <v>0.50502562437848941</v>
      </c>
      <c r="T189">
        <v>0.22926784710671011</v>
      </c>
      <c r="U189">
        <v>3.9068850699342629E-3</v>
      </c>
      <c r="V189">
        <v>0.34934724020404817</v>
      </c>
      <c r="W189">
        <v>7.8567615406086588E-3</v>
      </c>
      <c r="X189">
        <v>0</v>
      </c>
      <c r="Y189">
        <v>-0.80337423445960443</v>
      </c>
      <c r="Z189">
        <v>0</v>
      </c>
      <c r="AA189">
        <v>0.25284005905354823</v>
      </c>
      <c r="AB189">
        <v>4.0405489040808407</v>
      </c>
      <c r="AC189">
        <v>149.32919902204787</v>
      </c>
      <c r="AD189">
        <v>930.08035144748249</v>
      </c>
      <c r="AE189">
        <v>7.5148720410299782E-2</v>
      </c>
      <c r="AF189">
        <v>82.739470062143624</v>
      </c>
      <c r="AG189">
        <v>10.268565082604642</v>
      </c>
      <c r="AH189">
        <v>45.432471347656254</v>
      </c>
      <c r="AI189">
        <v>43.799682978515619</v>
      </c>
      <c r="AJ189">
        <v>96.368267261615571</v>
      </c>
      <c r="AK189">
        <v>2.5093723442449138</v>
      </c>
      <c r="AL189">
        <v>-1.7464403450325676</v>
      </c>
      <c r="AM189">
        <v>-2.4086751974153913</v>
      </c>
      <c r="AN189">
        <v>-0.25140878264113375</v>
      </c>
      <c r="AO189">
        <v>1.9567959047983952</v>
      </c>
      <c r="AP189">
        <v>2.7761520000000002</v>
      </c>
      <c r="AQ189" t="s">
        <v>330</v>
      </c>
      <c r="AR189">
        <v>4.3797920000000001</v>
      </c>
      <c r="AS189">
        <v>4.3797920000000001</v>
      </c>
      <c r="AT189">
        <v>0</v>
      </c>
      <c r="AU189">
        <v>0</v>
      </c>
      <c r="AV189">
        <v>0</v>
      </c>
      <c r="AW189">
        <v>0</v>
      </c>
    </row>
    <row r="190" spans="2:49" ht="15" customHeight="1" x14ac:dyDescent="0.2">
      <c r="B190" t="s">
        <v>722</v>
      </c>
      <c r="C190" t="s">
        <v>723</v>
      </c>
      <c r="N190" t="s">
        <v>89</v>
      </c>
      <c r="O190">
        <v>217.26689128414662</v>
      </c>
      <c r="P190">
        <v>656.00843166866639</v>
      </c>
      <c r="Q190">
        <v>62.282073537263216</v>
      </c>
      <c r="R190" t="s">
        <v>1013</v>
      </c>
      <c r="S190">
        <v>0.92689688718344976</v>
      </c>
      <c r="T190">
        <v>1.8891792278792998</v>
      </c>
      <c r="U190">
        <v>1.4201631863314018E-3</v>
      </c>
      <c r="V190">
        <v>0.60128957212730261</v>
      </c>
      <c r="W190">
        <v>6.3163788599013056E-3</v>
      </c>
      <c r="X190">
        <v>0</v>
      </c>
      <c r="Y190">
        <v>-1.1580463788243291</v>
      </c>
      <c r="Z190">
        <v>0</v>
      </c>
      <c r="AA190">
        <v>6.9582773002481391E-2</v>
      </c>
      <c r="AB190">
        <v>2.3528165078135048</v>
      </c>
      <c r="AC190">
        <v>152.15912415755201</v>
      </c>
      <c r="AD190">
        <v>2172.6689128414664</v>
      </c>
      <c r="AE190">
        <v>0.61882659121587968</v>
      </c>
      <c r="AF190">
        <v>82.66612294858605</v>
      </c>
      <c r="AG190">
        <v>134.60076833556059</v>
      </c>
      <c r="AH190">
        <v>203.9690033355713</v>
      </c>
      <c r="AI190">
        <v>8.0907972503662222</v>
      </c>
      <c r="AJ190">
        <v>3.9648292749771579</v>
      </c>
      <c r="AK190">
        <v>1.5713105753096874</v>
      </c>
      <c r="AL190">
        <v>-0.59833735824463474</v>
      </c>
      <c r="AM190">
        <v>-2.3166195894823431</v>
      </c>
      <c r="AN190">
        <v>-0.32830841263293159</v>
      </c>
      <c r="AO190">
        <v>0.28202840293400327</v>
      </c>
      <c r="AP190">
        <v>-15.914204696318558</v>
      </c>
      <c r="AQ190" t="s">
        <v>330</v>
      </c>
      <c r="AR190">
        <v>-23.804559488295048</v>
      </c>
      <c r="AS190">
        <v>-15.914205000000001</v>
      </c>
      <c r="AT190">
        <v>0.29459593221936786</v>
      </c>
      <c r="AU190">
        <v>13.097594663085948</v>
      </c>
      <c r="AV190">
        <v>13.097594663085948</v>
      </c>
      <c r="AW190">
        <v>5.2083333333333336E-2</v>
      </c>
    </row>
    <row r="191" spans="2:49" ht="15" customHeight="1" x14ac:dyDescent="0.2">
      <c r="B191" t="s">
        <v>724</v>
      </c>
      <c r="C191" t="s">
        <v>725</v>
      </c>
      <c r="N191" t="s">
        <v>89</v>
      </c>
      <c r="O191">
        <v>155.756458639577</v>
      </c>
      <c r="P191">
        <v>503.71053164859285</v>
      </c>
      <c r="Q191">
        <v>61.480844601663001</v>
      </c>
      <c r="R191" t="s">
        <v>1013</v>
      </c>
      <c r="S191">
        <v>0.84264501573922823</v>
      </c>
      <c r="T191">
        <v>1.10569761315676</v>
      </c>
      <c r="U191">
        <v>2.1979301661834154E-3</v>
      </c>
      <c r="V191">
        <v>0.5705141031926928</v>
      </c>
      <c r="W191">
        <v>1.0442196728035924E-3</v>
      </c>
      <c r="X191">
        <v>0</v>
      </c>
      <c r="Y191">
        <v>-1.5857948169051601</v>
      </c>
      <c r="Z191">
        <v>0</v>
      </c>
      <c r="AA191">
        <v>0.12709706753045363</v>
      </c>
      <c r="AB191">
        <v>1.7600930732001467</v>
      </c>
      <c r="AC191">
        <v>150.17212986763241</v>
      </c>
      <c r="AD191">
        <v>1557.56458639577</v>
      </c>
      <c r="AE191">
        <v>0.36228888449282598</v>
      </c>
      <c r="AF191">
        <v>83.30987417718508</v>
      </c>
      <c r="AG191">
        <v>72.446584462391954</v>
      </c>
      <c r="AH191">
        <v>131.32602654113768</v>
      </c>
      <c r="AI191">
        <v>21.763129754638669</v>
      </c>
      <c r="AJ191">
        <v>16.581195920450373</v>
      </c>
      <c r="AK191">
        <v>2.5929372287064898</v>
      </c>
      <c r="AL191">
        <v>-1.2761960257547571</v>
      </c>
      <c r="AM191">
        <v>-2.5621567717523703</v>
      </c>
      <c r="AN191">
        <v>-0.14137713721323195</v>
      </c>
      <c r="AO191">
        <v>0.83403328154413436</v>
      </c>
      <c r="AP191">
        <v>-7.0066379999999997</v>
      </c>
      <c r="AQ191" t="s">
        <v>330</v>
      </c>
      <c r="AR191">
        <v>-13.390890000000001</v>
      </c>
      <c r="AS191">
        <v>-7.0066379999999997</v>
      </c>
      <c r="AT191">
        <v>0.57183936215403719</v>
      </c>
      <c r="AU191">
        <v>24.787398238699772</v>
      </c>
      <c r="AV191">
        <v>24.787398238699772</v>
      </c>
      <c r="AW191">
        <v>7.2916666666666671E-2</v>
      </c>
    </row>
    <row r="192" spans="2:49" ht="15" customHeight="1" x14ac:dyDescent="0.2">
      <c r="B192" t="s">
        <v>726</v>
      </c>
      <c r="C192" t="s">
        <v>727</v>
      </c>
      <c r="N192" t="s">
        <v>89</v>
      </c>
      <c r="O192">
        <v>180.23731812484354</v>
      </c>
      <c r="P192">
        <v>702.39404521546476</v>
      </c>
      <c r="Q192">
        <v>53.75884348029183</v>
      </c>
      <c r="R192" t="s">
        <v>1013</v>
      </c>
      <c r="S192">
        <v>0.89416601430890141</v>
      </c>
      <c r="T192">
        <v>1.336313901146434</v>
      </c>
      <c r="U192">
        <v>1.4747064457864012E-3</v>
      </c>
      <c r="V192">
        <v>0.67491906743017582</v>
      </c>
      <c r="W192">
        <v>1.1066946955384082E-2</v>
      </c>
      <c r="X192">
        <v>0</v>
      </c>
      <c r="Y192">
        <v>-2.5839566930034121</v>
      </c>
      <c r="Z192">
        <v>0</v>
      </c>
      <c r="AA192">
        <v>0.1809067449583196</v>
      </c>
      <c r="AB192">
        <v>5.2843208187587658</v>
      </c>
      <c r="AC192">
        <v>150.66827357824278</v>
      </c>
      <c r="AD192">
        <v>1802.3731812484352</v>
      </c>
      <c r="AE192">
        <v>0.43784576190488561</v>
      </c>
      <c r="AF192">
        <v>83.890409485526618</v>
      </c>
      <c r="AG192">
        <v>96.346908639316908</v>
      </c>
      <c r="AH192">
        <v>149.60468719482421</v>
      </c>
      <c r="AI192">
        <v>21.129117681884765</v>
      </c>
      <c r="AJ192">
        <v>14.125263600893945</v>
      </c>
      <c r="AK192">
        <v>3.213985984103676</v>
      </c>
      <c r="AL192">
        <v>-1.3345438317757043</v>
      </c>
      <c r="AM192">
        <v>-2.8458052107955609</v>
      </c>
      <c r="AN192">
        <v>0.31584890923368603</v>
      </c>
      <c r="AO192">
        <v>0.78174704432334052</v>
      </c>
      <c r="AP192">
        <v>-6.1672090426042931</v>
      </c>
      <c r="AQ192" t="s">
        <v>330</v>
      </c>
      <c r="AR192">
        <v>-12.400683546950695</v>
      </c>
      <c r="AS192">
        <v>-6.1672089999999997</v>
      </c>
      <c r="AT192">
        <v>1.3180015581707309</v>
      </c>
      <c r="AU192">
        <v>9.3814723578559089</v>
      </c>
      <c r="AV192">
        <v>9.3814723578559089</v>
      </c>
      <c r="AW192">
        <v>0.75</v>
      </c>
    </row>
    <row r="193" spans="2:49" ht="15" customHeight="1" x14ac:dyDescent="0.2">
      <c r="B193" t="s">
        <v>728</v>
      </c>
      <c r="C193" t="s">
        <v>729</v>
      </c>
      <c r="N193" t="s">
        <v>89</v>
      </c>
      <c r="O193">
        <v>101.15363160787429</v>
      </c>
      <c r="P193">
        <v>167.98299098789076</v>
      </c>
      <c r="Q193">
        <v>41.425716649326631</v>
      </c>
      <c r="R193" t="s">
        <v>1013</v>
      </c>
      <c r="S193">
        <v>0.3984563774633475</v>
      </c>
      <c r="T193">
        <v>0.23946935143349896</v>
      </c>
      <c r="U193">
        <v>5.7472640749293685E-3</v>
      </c>
      <c r="V193">
        <v>0.36034939854494608</v>
      </c>
      <c r="W193">
        <v>3.0816414476475982E-3</v>
      </c>
      <c r="X193">
        <v>6.2713839793683196E-2</v>
      </c>
      <c r="Y193">
        <v>-0.5285131424906887</v>
      </c>
      <c r="Z193">
        <v>0</v>
      </c>
      <c r="AA193">
        <v>6.6271083499284913E-2</v>
      </c>
      <c r="AB193">
        <v>1.2986499713293929</v>
      </c>
      <c r="AC193">
        <v>0</v>
      </c>
      <c r="AD193">
        <v>1011.5363160787429</v>
      </c>
      <c r="AE193">
        <v>0.34361952117669903</v>
      </c>
      <c r="AF193">
        <v>93.468854430992849</v>
      </c>
      <c r="AG193">
        <v>7.684777176881437</v>
      </c>
      <c r="AH193">
        <v>60.099264305419936</v>
      </c>
      <c r="AI193">
        <v>39.740735694580067</v>
      </c>
      <c r="AJ193">
        <v>66.125161686872971</v>
      </c>
      <c r="AK193">
        <v>2.4816698190914663</v>
      </c>
      <c r="AL193">
        <v>-1.8765514610653895</v>
      </c>
      <c r="AM193">
        <v>-2.6089840151483941</v>
      </c>
      <c r="AN193">
        <v>8.6711250637803786E-2</v>
      </c>
      <c r="AO193">
        <v>1.8795587550735069</v>
      </c>
      <c r="AP193">
        <v>1.8135319999999999</v>
      </c>
      <c r="AQ193" t="s">
        <v>330</v>
      </c>
      <c r="AR193" t="s">
        <v>330</v>
      </c>
      <c r="AS193">
        <v>1.8135319999999999</v>
      </c>
      <c r="AT193">
        <v>1.752804487179487</v>
      </c>
      <c r="AU193">
        <v>0</v>
      </c>
      <c r="AV193">
        <v>231.8502222675645</v>
      </c>
      <c r="AW193">
        <v>0.72916666666666674</v>
      </c>
    </row>
    <row r="194" spans="2:49" ht="15" customHeight="1" x14ac:dyDescent="0.2">
      <c r="B194" t="s">
        <v>730</v>
      </c>
      <c r="C194" t="s">
        <v>731</v>
      </c>
      <c r="N194" t="s">
        <v>89</v>
      </c>
      <c r="O194">
        <v>98.195198287236252</v>
      </c>
      <c r="P194">
        <v>103.40917873348359</v>
      </c>
      <c r="Q194">
        <v>111.4007087564562</v>
      </c>
      <c r="R194" t="s">
        <v>1013</v>
      </c>
      <c r="S194">
        <v>1.3050030080505229E-6</v>
      </c>
      <c r="T194">
        <v>5.6321967605016942E-7</v>
      </c>
      <c r="U194">
        <v>3.4783737150681826E-7</v>
      </c>
      <c r="V194">
        <v>1.2559528272504395E-6</v>
      </c>
      <c r="W194">
        <v>1.4746255574425503E-2</v>
      </c>
      <c r="X194">
        <v>5.3658914212672129E-8</v>
      </c>
      <c r="Y194">
        <v>-4.3875280339872254E-4</v>
      </c>
      <c r="Z194">
        <v>0</v>
      </c>
      <c r="AA194">
        <v>3.6446985240714226E-3</v>
      </c>
      <c r="AB194">
        <v>-0.72793957874890425</v>
      </c>
      <c r="AC194">
        <v>0</v>
      </c>
      <c r="AD194">
        <v>981.95198287236258</v>
      </c>
      <c r="AE194">
        <v>3.7227794318738984E-7</v>
      </c>
      <c r="AF194">
        <v>98.329239326966047</v>
      </c>
      <c r="AG194">
        <v>-0.13404103972980011</v>
      </c>
      <c r="AH194">
        <v>43.158496384735102</v>
      </c>
      <c r="AI194">
        <v>55.751503615264895</v>
      </c>
      <c r="AJ194">
        <v>129.17851242608134</v>
      </c>
      <c r="AK194">
        <v>0.21057678463338211</v>
      </c>
      <c r="AL194">
        <v>-0.20942113506936266</v>
      </c>
      <c r="AM194">
        <v>-0.246435360422538</v>
      </c>
      <c r="AN194">
        <v>-8.6854033069257541E-2</v>
      </c>
      <c r="AO194">
        <v>0.21172898096184678</v>
      </c>
      <c r="AP194">
        <v>5.2896570000000001</v>
      </c>
      <c r="AQ194" t="s">
        <v>330</v>
      </c>
      <c r="AR194" t="s">
        <v>330</v>
      </c>
      <c r="AS194">
        <v>5.2896570000000001</v>
      </c>
      <c r="AT194">
        <v>0</v>
      </c>
      <c r="AU194">
        <v>0</v>
      </c>
      <c r="AV194">
        <v>0</v>
      </c>
      <c r="AW194">
        <v>0</v>
      </c>
    </row>
    <row r="195" spans="2:49" ht="15" customHeight="1" x14ac:dyDescent="0.2">
      <c r="B195" t="s">
        <v>311</v>
      </c>
      <c r="C195" t="s">
        <v>350</v>
      </c>
      <c r="N195" t="s">
        <v>89</v>
      </c>
      <c r="O195">
        <v>105.39635773930425</v>
      </c>
      <c r="P195" t="s">
        <v>330</v>
      </c>
      <c r="Q195">
        <v>45.639968737384642</v>
      </c>
      <c r="R195" t="s">
        <v>1013</v>
      </c>
      <c r="S195" t="s">
        <v>330</v>
      </c>
      <c r="T195" t="s">
        <v>330</v>
      </c>
      <c r="U195" t="s">
        <v>330</v>
      </c>
      <c r="V195" t="s">
        <v>330</v>
      </c>
      <c r="W195" t="s">
        <v>330</v>
      </c>
      <c r="X195" t="s">
        <v>330</v>
      </c>
      <c r="Y195" t="s">
        <v>330</v>
      </c>
      <c r="Z195" t="s">
        <v>330</v>
      </c>
      <c r="AA195" t="s">
        <v>330</v>
      </c>
      <c r="AB195">
        <v>-6.8964833478160559</v>
      </c>
      <c r="AC195">
        <v>138.45017797698162</v>
      </c>
      <c r="AD195">
        <v>105396.35773930425</v>
      </c>
      <c r="AE195">
        <v>0.19227761492362966</v>
      </c>
      <c r="AF195">
        <v>91.865825309116204</v>
      </c>
      <c r="AG195">
        <v>13.530532430188046</v>
      </c>
      <c r="AH195">
        <v>100.7579774868742</v>
      </c>
      <c r="AI195">
        <v>11.933490630812912</v>
      </c>
      <c r="AJ195">
        <v>11.846829959705998</v>
      </c>
      <c r="AK195">
        <v>1.1871473705900808</v>
      </c>
      <c r="AL195">
        <v>-0.63302626830365627</v>
      </c>
      <c r="AM195">
        <v>-1.4451388381561265</v>
      </c>
      <c r="AN195">
        <v>2.5644050892136755E-2</v>
      </c>
      <c r="AO195">
        <v>0.60061493763326612</v>
      </c>
      <c r="AP195">
        <v>-8.0287869999999995</v>
      </c>
      <c r="AQ195" t="s">
        <v>330</v>
      </c>
      <c r="AR195" t="s">
        <v>330</v>
      </c>
      <c r="AS195">
        <v>-8.0287869999999995</v>
      </c>
      <c r="AT195">
        <v>4.4379354724182307E-2</v>
      </c>
      <c r="AU195">
        <v>0</v>
      </c>
      <c r="AV195">
        <v>0</v>
      </c>
      <c r="AW195">
        <v>2.8904109589041091E-2</v>
      </c>
    </row>
    <row r="196" spans="2:49" ht="15" customHeight="1" x14ac:dyDescent="0.2">
      <c r="B196" t="s">
        <v>312</v>
      </c>
      <c r="C196" t="s">
        <v>351</v>
      </c>
      <c r="N196" t="s">
        <v>89</v>
      </c>
      <c r="O196">
        <v>100.05531675148355</v>
      </c>
      <c r="P196">
        <v>9.4313378601814719</v>
      </c>
      <c r="Q196">
        <v>24.777184571081229</v>
      </c>
      <c r="R196" t="s">
        <v>1013</v>
      </c>
      <c r="S196">
        <v>6.4345651829867748E-2</v>
      </c>
      <c r="T196">
        <v>5.4440575948485628E-2</v>
      </c>
      <c r="U196">
        <v>1.0759814932837349E-2</v>
      </c>
      <c r="V196">
        <v>5.9986596358030511E-2</v>
      </c>
      <c r="W196">
        <v>8.8665019160544039E-4</v>
      </c>
      <c r="X196">
        <v>0</v>
      </c>
      <c r="Y196">
        <v>-1.7406129883610143E-2</v>
      </c>
      <c r="Z196">
        <v>0</v>
      </c>
      <c r="AA196">
        <v>7.2342050229730641E-4</v>
      </c>
      <c r="AB196">
        <v>-0.35548660487469474</v>
      </c>
      <c r="AC196">
        <v>138.97913659973329</v>
      </c>
      <c r="AD196">
        <v>100055.31675148355</v>
      </c>
      <c r="AE196">
        <v>0.1972351665594988</v>
      </c>
      <c r="AF196">
        <v>99.853902726903357</v>
      </c>
      <c r="AG196">
        <v>0.20141402458021185</v>
      </c>
      <c r="AH196">
        <v>84.544381413622858</v>
      </c>
      <c r="AI196">
        <v>15.866618586377143</v>
      </c>
      <c r="AJ196">
        <v>18.767206431793131</v>
      </c>
      <c r="AK196">
        <v>0.43897683245117453</v>
      </c>
      <c r="AL196">
        <v>-0.42673529931860688</v>
      </c>
      <c r="AM196">
        <v>-0.52575761362953921</v>
      </c>
      <c r="AN196">
        <v>-7.216968300529758E-2</v>
      </c>
      <c r="AO196">
        <v>0.42498859618827306</v>
      </c>
      <c r="AP196">
        <v>1.662015</v>
      </c>
      <c r="AQ196" t="s">
        <v>330</v>
      </c>
      <c r="AR196" t="s">
        <v>330</v>
      </c>
      <c r="AS196">
        <v>1.662015</v>
      </c>
      <c r="AT196">
        <v>2.6142554102638158</v>
      </c>
      <c r="AU196">
        <v>0</v>
      </c>
      <c r="AV196">
        <v>0</v>
      </c>
      <c r="AW196">
        <v>1.4527397260273971</v>
      </c>
    </row>
    <row r="197" spans="2:49" ht="15" customHeight="1" x14ac:dyDescent="0.2">
      <c r="B197" t="s">
        <v>732</v>
      </c>
      <c r="C197" t="s">
        <v>733</v>
      </c>
      <c r="N197" t="s">
        <v>89</v>
      </c>
      <c r="O197">
        <v>103.81835490945359</v>
      </c>
      <c r="P197">
        <v>53.915851428062254</v>
      </c>
      <c r="Q197">
        <v>15.532348715453661</v>
      </c>
      <c r="R197" t="s">
        <v>1013</v>
      </c>
      <c r="S197">
        <v>0.46327294784808404</v>
      </c>
      <c r="T197">
        <v>0.39143180357762558</v>
      </c>
      <c r="U197">
        <v>1.1336801529235416E-2</v>
      </c>
      <c r="V197">
        <v>0.79522647835395299</v>
      </c>
      <c r="W197">
        <v>-2.0679871428571643E-3</v>
      </c>
      <c r="X197">
        <v>-0.13775078219394407</v>
      </c>
      <c r="Y197">
        <v>-1.794344644991257</v>
      </c>
      <c r="Z197">
        <v>0</v>
      </c>
      <c r="AA197">
        <v>3.9461465398760533E-2</v>
      </c>
      <c r="AB197">
        <v>1.1224941008456177</v>
      </c>
      <c r="AC197">
        <v>126.96938276128647</v>
      </c>
      <c r="AD197">
        <v>10381835.49094536</v>
      </c>
      <c r="AE197">
        <v>2.3018230772139853E-2</v>
      </c>
      <c r="AF197">
        <v>95.298148828854821</v>
      </c>
      <c r="AG197">
        <v>8.5202060805987756</v>
      </c>
      <c r="AH197">
        <v>84.492696022039979</v>
      </c>
      <c r="AI197">
        <v>18.160303977960027</v>
      </c>
      <c r="AJ197">
        <v>21.49334183066297</v>
      </c>
      <c r="AK197">
        <v>6.9971637456163167</v>
      </c>
      <c r="AL197">
        <v>-2.9894181064232255</v>
      </c>
      <c r="AM197">
        <v>-4.5190762895829977</v>
      </c>
      <c r="AN197">
        <v>0.306348371158644</v>
      </c>
      <c r="AO197">
        <v>2.9121585403477974</v>
      </c>
      <c r="AP197">
        <v>-0.30176599999999998</v>
      </c>
      <c r="AQ197" t="s">
        <v>330</v>
      </c>
      <c r="AR197">
        <v>-0.712646</v>
      </c>
      <c r="AS197">
        <v>-0.30176599999999998</v>
      </c>
      <c r="AT197">
        <v>0</v>
      </c>
      <c r="AU197">
        <v>0</v>
      </c>
      <c r="AV197">
        <v>0</v>
      </c>
      <c r="AW197">
        <v>0</v>
      </c>
    </row>
    <row r="198" spans="2:49" ht="15" customHeight="1" x14ac:dyDescent="0.2">
      <c r="B198" t="s">
        <v>734</v>
      </c>
      <c r="C198" t="s">
        <v>735</v>
      </c>
      <c r="N198" t="s">
        <v>89</v>
      </c>
      <c r="O198">
        <v>103.21310627901126</v>
      </c>
      <c r="P198">
        <v>52.789441316920396</v>
      </c>
      <c r="Q198">
        <v>15.637048073131366</v>
      </c>
      <c r="R198" t="s">
        <v>1013</v>
      </c>
      <c r="S198">
        <v>0.40949167497278849</v>
      </c>
      <c r="T198">
        <v>0.33939688710746863</v>
      </c>
      <c r="U198">
        <v>1.2456418954356846E-2</v>
      </c>
      <c r="V198">
        <v>0.71147739581965841</v>
      </c>
      <c r="W198">
        <v>-2.2225005250610412E-3</v>
      </c>
      <c r="X198">
        <v>-6.8988416154381851E-2</v>
      </c>
      <c r="Y198">
        <v>-1.4754330237954403</v>
      </c>
      <c r="Z198">
        <v>0</v>
      </c>
      <c r="AA198">
        <v>3.3172164422311919E-2</v>
      </c>
      <c r="AB198">
        <v>0.92731079754925194</v>
      </c>
      <c r="AC198">
        <v>126.96938276128647</v>
      </c>
      <c r="AD198">
        <v>10321310.627901126</v>
      </c>
      <c r="AE198">
        <v>1.9958652579092538E-2</v>
      </c>
      <c r="AF198">
        <v>96.770694327390331</v>
      </c>
      <c r="AG198">
        <v>6.4424119516209331</v>
      </c>
      <c r="AH198">
        <v>82.882487691604993</v>
      </c>
      <c r="AI198">
        <v>19.373512308395007</v>
      </c>
      <c r="AJ198">
        <v>23.374675215446402</v>
      </c>
      <c r="AK198">
        <v>6.4882704007668863</v>
      </c>
      <c r="AL198">
        <v>-2.6279600593790411</v>
      </c>
      <c r="AM198">
        <v>-3.8913981107104569</v>
      </c>
      <c r="AN198">
        <v>0.19741743039284407</v>
      </c>
      <c r="AO198">
        <v>2.5699812816646861</v>
      </c>
      <c r="AP198">
        <v>-0.29056799999999999</v>
      </c>
      <c r="AQ198" t="s">
        <v>330</v>
      </c>
      <c r="AR198">
        <v>-0.83397399999999999</v>
      </c>
      <c r="AS198">
        <v>-0.29056799999999999</v>
      </c>
      <c r="AT198">
        <v>0</v>
      </c>
      <c r="AU198">
        <v>0</v>
      </c>
      <c r="AV198">
        <v>0</v>
      </c>
      <c r="AW198">
        <v>0</v>
      </c>
    </row>
    <row r="199" spans="2:49" ht="15" customHeight="1" x14ac:dyDescent="0.2">
      <c r="B199" t="s">
        <v>313</v>
      </c>
      <c r="C199" t="s">
        <v>352</v>
      </c>
      <c r="N199" t="s">
        <v>89</v>
      </c>
      <c r="O199">
        <v>132.10791445716228</v>
      </c>
      <c r="P199">
        <v>173.55385696018502</v>
      </c>
      <c r="Q199">
        <v>28.685367499510246</v>
      </c>
      <c r="R199" t="s">
        <v>1013</v>
      </c>
      <c r="S199">
        <v>0.85326346332017655</v>
      </c>
      <c r="T199">
        <v>1.0769063362478954</v>
      </c>
      <c r="U199">
        <v>7.3758900069372827E-3</v>
      </c>
      <c r="V199">
        <v>0.40066008691089794</v>
      </c>
      <c r="W199">
        <v>3.0082991446988673E-3</v>
      </c>
      <c r="X199">
        <v>0.79136642526969037</v>
      </c>
      <c r="Y199">
        <v>-0.79428735486160917</v>
      </c>
      <c r="Z199">
        <v>0</v>
      </c>
      <c r="AA199">
        <v>2.9012663525349952E-2</v>
      </c>
      <c r="AB199">
        <v>1.1815449994620892</v>
      </c>
      <c r="AC199">
        <v>0</v>
      </c>
      <c r="AD199">
        <v>1321.0791445716229</v>
      </c>
      <c r="AE199">
        <v>1.253055450756817</v>
      </c>
      <c r="AF199">
        <v>98.554274989539479</v>
      </c>
      <c r="AG199">
        <v>33.553639467622816</v>
      </c>
      <c r="AH199">
        <v>126.19559940322877</v>
      </c>
      <c r="AI199">
        <v>4.3514005967712279</v>
      </c>
      <c r="AJ199">
        <v>3.4481397270180048</v>
      </c>
      <c r="AK199">
        <v>1.3422975323130817</v>
      </c>
      <c r="AL199">
        <v>-0.38967962180879567</v>
      </c>
      <c r="AM199">
        <v>-1.4351876304665439</v>
      </c>
      <c r="AN199">
        <v>1.9367659057776574E-2</v>
      </c>
      <c r="AO199">
        <v>0.29849756931127924</v>
      </c>
      <c r="AP199">
        <v>-15.964312</v>
      </c>
      <c r="AQ199" t="s">
        <v>330</v>
      </c>
      <c r="AR199" t="s">
        <v>330</v>
      </c>
      <c r="AS199">
        <v>-15.964312</v>
      </c>
      <c r="AT199">
        <v>2.2980229342688845</v>
      </c>
      <c r="AU199">
        <v>0</v>
      </c>
      <c r="AV199">
        <v>0</v>
      </c>
      <c r="AW199">
        <v>0.36666666666666664</v>
      </c>
    </row>
    <row r="200" spans="2:49" ht="15" customHeight="1" x14ac:dyDescent="0.2">
      <c r="B200" t="s">
        <v>736</v>
      </c>
      <c r="C200" t="s">
        <v>737</v>
      </c>
      <c r="N200" t="s">
        <v>89</v>
      </c>
      <c r="O200">
        <v>125.99858031757266</v>
      </c>
      <c r="P200">
        <v>448.529373431382</v>
      </c>
      <c r="Q200">
        <v>53.962840562854673</v>
      </c>
      <c r="R200" t="s">
        <v>1013</v>
      </c>
      <c r="S200">
        <v>0.76823687134824392</v>
      </c>
      <c r="T200">
        <v>0.90217865800251185</v>
      </c>
      <c r="U200">
        <v>6.5597424865227825E-3</v>
      </c>
      <c r="V200">
        <v>0.26376622217782142</v>
      </c>
      <c r="W200">
        <v>-1.7485762264982441E-2</v>
      </c>
      <c r="X200">
        <v>0</v>
      </c>
      <c r="Y200">
        <v>-0.29446464497021602</v>
      </c>
      <c r="Z200">
        <v>0</v>
      </c>
      <c r="AA200">
        <v>3.0347046112720218E-2</v>
      </c>
      <c r="AB200">
        <v>0.26554292653881717</v>
      </c>
      <c r="AC200">
        <v>146.81646428031621</v>
      </c>
      <c r="AD200">
        <v>1259.9858031757267</v>
      </c>
      <c r="AE200">
        <v>0.40143149669989275</v>
      </c>
      <c r="AF200">
        <v>93.906316870958236</v>
      </c>
      <c r="AG200">
        <v>32.092263446614425</v>
      </c>
      <c r="AH200">
        <v>117.42973597595216</v>
      </c>
      <c r="AI200">
        <v>8.234264024047846</v>
      </c>
      <c r="AJ200">
        <v>7.0120774398522867</v>
      </c>
      <c r="AK200">
        <v>0.52009270679580055</v>
      </c>
      <c r="AL200">
        <v>-0.260770998915973</v>
      </c>
      <c r="AM200">
        <v>-0.6953902070094955</v>
      </c>
      <c r="AN200">
        <v>1.8186573195378263E-2</v>
      </c>
      <c r="AO200">
        <v>0.20751448220331442</v>
      </c>
      <c r="AP200">
        <v>-24.589221999999999</v>
      </c>
      <c r="AQ200" t="s">
        <v>330</v>
      </c>
      <c r="AR200" t="s">
        <v>330</v>
      </c>
      <c r="AS200">
        <v>-24.589221999999999</v>
      </c>
      <c r="AT200">
        <v>0</v>
      </c>
      <c r="AU200">
        <v>0</v>
      </c>
      <c r="AV200">
        <v>0</v>
      </c>
      <c r="AW200">
        <v>0</v>
      </c>
    </row>
    <row r="201" spans="2:49" ht="15" customHeight="1" x14ac:dyDescent="0.2">
      <c r="B201" t="s">
        <v>738</v>
      </c>
      <c r="C201" t="s">
        <v>739</v>
      </c>
      <c r="N201" t="s">
        <v>89</v>
      </c>
      <c r="O201">
        <v>90.506645407906362</v>
      </c>
      <c r="P201">
        <v>135.37580672146689</v>
      </c>
      <c r="Q201">
        <v>71.507316183419618</v>
      </c>
      <c r="R201" t="s">
        <v>1013</v>
      </c>
      <c r="S201">
        <v>5.998059948675122E-3</v>
      </c>
      <c r="T201">
        <v>1.1762357910122981E-3</v>
      </c>
      <c r="U201">
        <v>3.0613238426794914E-4</v>
      </c>
      <c r="V201">
        <v>4.9759503925888562E-3</v>
      </c>
      <c r="W201">
        <v>9.038837646250613E-3</v>
      </c>
      <c r="X201">
        <v>1.5644338793726602E-5</v>
      </c>
      <c r="Y201">
        <v>-2.6754236990921025E-3</v>
      </c>
      <c r="Z201">
        <v>0</v>
      </c>
      <c r="AA201">
        <v>5.493413889083075E-2</v>
      </c>
      <c r="AB201">
        <v>-1.4853656171154466</v>
      </c>
      <c r="AC201">
        <v>162.9253447765594</v>
      </c>
      <c r="AD201">
        <v>90506.645407906355</v>
      </c>
      <c r="AE201">
        <v>2.5694241068656573E-2</v>
      </c>
      <c r="AF201">
        <v>91.061741217960062</v>
      </c>
      <c r="AG201">
        <v>-0.55509581005369546</v>
      </c>
      <c r="AH201">
        <v>19.623080578460719</v>
      </c>
      <c r="AI201">
        <v>72.232190747582649</v>
      </c>
      <c r="AJ201">
        <v>368.17826106690188</v>
      </c>
      <c r="AK201">
        <v>2.2943241294616197</v>
      </c>
      <c r="AL201">
        <v>-2.5908485812829896</v>
      </c>
      <c r="AM201">
        <v>-2.446362666599307</v>
      </c>
      <c r="AN201">
        <v>0.10397607066517471</v>
      </c>
      <c r="AO201">
        <v>2.8207080829637015</v>
      </c>
      <c r="AP201">
        <v>3.6735295681787239</v>
      </c>
      <c r="AQ201" t="s">
        <v>330</v>
      </c>
      <c r="AR201" t="s">
        <v>330</v>
      </c>
      <c r="AS201">
        <v>3.6735295681787239</v>
      </c>
      <c r="AT201">
        <v>0</v>
      </c>
      <c r="AU201">
        <v>0</v>
      </c>
      <c r="AV201">
        <v>0</v>
      </c>
      <c r="AW201">
        <v>0</v>
      </c>
    </row>
    <row r="202" spans="2:49" ht="15" customHeight="1" x14ac:dyDescent="0.2">
      <c r="B202" t="s">
        <v>314</v>
      </c>
      <c r="C202" t="s">
        <v>353</v>
      </c>
      <c r="N202" t="s">
        <v>89</v>
      </c>
      <c r="O202">
        <v>96.295727907712134</v>
      </c>
      <c r="P202">
        <v>128.24470814758951</v>
      </c>
      <c r="Q202">
        <v>73.413779170566201</v>
      </c>
      <c r="R202" t="s">
        <v>1013</v>
      </c>
      <c r="S202">
        <v>1.944391834088875E-3</v>
      </c>
      <c r="T202">
        <v>4.8083732127841757E-4</v>
      </c>
      <c r="U202">
        <v>1.4059823245270208E-4</v>
      </c>
      <c r="V202">
        <v>1.8337356522606569E-3</v>
      </c>
      <c r="W202">
        <v>9.6351575480075561E-3</v>
      </c>
      <c r="X202">
        <v>1.4419420248060444E-5</v>
      </c>
      <c r="Y202">
        <v>-6.666479193780853E-4</v>
      </c>
      <c r="Z202">
        <v>0</v>
      </c>
      <c r="AA202">
        <v>3.1954490437482705E-2</v>
      </c>
      <c r="AB202">
        <v>-1.0896351427899806</v>
      </c>
      <c r="AC202">
        <v>140.97406610532641</v>
      </c>
      <c r="AD202">
        <v>96295.727907712149</v>
      </c>
      <c r="AE202">
        <v>1.0534609956962386E-2</v>
      </c>
      <c r="AF202">
        <v>96.730776491371046</v>
      </c>
      <c r="AG202">
        <v>-0.43504858365892141</v>
      </c>
      <c r="AH202">
        <v>24.75098326704007</v>
      </c>
      <c r="AI202">
        <v>72.594016732959929</v>
      </c>
      <c r="AJ202">
        <v>293.29750640505091</v>
      </c>
      <c r="AK202">
        <v>1.4934809194744445</v>
      </c>
      <c r="AL202">
        <v>-1.4648466182357516</v>
      </c>
      <c r="AM202">
        <v>-1.6879207751697687</v>
      </c>
      <c r="AN202">
        <v>3.1051169136667455E-2</v>
      </c>
      <c r="AO202">
        <v>1.5047990325499527</v>
      </c>
      <c r="AP202">
        <v>3.5607246445478964</v>
      </c>
      <c r="AQ202" t="s">
        <v>330</v>
      </c>
      <c r="AR202" t="s">
        <v>330</v>
      </c>
      <c r="AS202">
        <v>3.5607250000000001</v>
      </c>
      <c r="AT202">
        <v>1.7977297241768966</v>
      </c>
      <c r="AU202">
        <v>0</v>
      </c>
      <c r="AV202">
        <v>0</v>
      </c>
      <c r="AW202">
        <v>0.83196721311475408</v>
      </c>
    </row>
    <row r="203" spans="2:49" ht="15" customHeight="1" x14ac:dyDescent="0.2">
      <c r="B203" t="s">
        <v>740</v>
      </c>
      <c r="C203" t="s">
        <v>741</v>
      </c>
      <c r="N203" t="s">
        <v>89</v>
      </c>
      <c r="O203">
        <v>114.4137267378017</v>
      </c>
      <c r="P203">
        <v>976.8825892244555</v>
      </c>
      <c r="Q203">
        <v>42.84284678733318</v>
      </c>
      <c r="R203" t="s">
        <v>1013</v>
      </c>
      <c r="S203">
        <v>0.62954370003657822</v>
      </c>
      <c r="T203">
        <v>0.38911062684637904</v>
      </c>
      <c r="U203">
        <v>3.7753280250259536E-3</v>
      </c>
      <c r="V203">
        <v>0.36516639907188164</v>
      </c>
      <c r="W203">
        <v>6.5727329784749603E-3</v>
      </c>
      <c r="X203">
        <v>0</v>
      </c>
      <c r="Y203">
        <v>-0.77767672952018463</v>
      </c>
      <c r="Z203">
        <v>0</v>
      </c>
      <c r="AA203">
        <v>0.29519773644435171</v>
      </c>
      <c r="AB203">
        <v>10.760707730477206</v>
      </c>
      <c r="AC203">
        <v>152.85061588147349</v>
      </c>
      <c r="AD203">
        <v>1144.137267378017</v>
      </c>
      <c r="AE203">
        <v>5.6638398872870406</v>
      </c>
      <c r="AF203">
        <v>93.599577103985339</v>
      </c>
      <c r="AG203">
        <v>20.814149633816349</v>
      </c>
      <c r="AH203">
        <v>61.807461853623394</v>
      </c>
      <c r="AI203">
        <v>40.29453814637661</v>
      </c>
      <c r="AJ203">
        <v>65.193646427036356</v>
      </c>
      <c r="AK203">
        <v>2.5947865122937843</v>
      </c>
      <c r="AL203">
        <v>-1.2747350761294456</v>
      </c>
      <c r="AM203">
        <v>-1.8426803840458206</v>
      </c>
      <c r="AN203">
        <v>0.13541970328353695</v>
      </c>
      <c r="AO203">
        <v>1.2484917789362064</v>
      </c>
      <c r="AP203">
        <v>3.3092320000000002</v>
      </c>
      <c r="AQ203" t="s">
        <v>330</v>
      </c>
      <c r="AR203">
        <v>2.785641</v>
      </c>
      <c r="AS203">
        <v>3.3092320000000002</v>
      </c>
      <c r="AT203">
        <v>3.7952243834596775</v>
      </c>
      <c r="AU203">
        <v>10.398590489387511</v>
      </c>
      <c r="AV203">
        <v>10.398590489387511</v>
      </c>
      <c r="AW203">
        <v>0</v>
      </c>
    </row>
    <row r="204" spans="2:49" ht="15" customHeight="1" x14ac:dyDescent="0.2">
      <c r="B204" t="s">
        <v>742</v>
      </c>
      <c r="C204" t="s">
        <v>743</v>
      </c>
      <c r="N204" t="s">
        <v>89</v>
      </c>
      <c r="O204">
        <v>118.71927182042593</v>
      </c>
      <c r="P204">
        <v>1116.05059329541</v>
      </c>
      <c r="Q204">
        <v>33.056138444191987</v>
      </c>
      <c r="R204" t="s">
        <v>1013</v>
      </c>
      <c r="S204">
        <v>0.71112120503369047</v>
      </c>
      <c r="T204">
        <v>0.43921244370376178</v>
      </c>
      <c r="U204">
        <v>3.0017600742871563E-3</v>
      </c>
      <c r="V204">
        <v>0.41376357093726029</v>
      </c>
      <c r="W204">
        <v>8.2709026415045631E-3</v>
      </c>
      <c r="X204">
        <v>0</v>
      </c>
      <c r="Y204">
        <v>-1.2495519067381906</v>
      </c>
      <c r="Z204">
        <v>0</v>
      </c>
      <c r="AA204">
        <v>0.42927473777310476</v>
      </c>
      <c r="AB204">
        <v>15.872967826933484</v>
      </c>
      <c r="AC204">
        <v>152.85061588147349</v>
      </c>
      <c r="AD204">
        <v>1187.1927182042593</v>
      </c>
      <c r="AE204">
        <v>6.4003534914969675</v>
      </c>
      <c r="AF204">
        <v>92.813745973578065</v>
      </c>
      <c r="AG204">
        <v>25.905525846847855</v>
      </c>
      <c r="AH204">
        <v>61.807461853623394</v>
      </c>
      <c r="AI204">
        <v>38.067538146376606</v>
      </c>
      <c r="AJ204">
        <v>61.590521604868229</v>
      </c>
      <c r="AK204">
        <v>2.9303151091217652</v>
      </c>
      <c r="AL204">
        <v>-1.4624298637809261</v>
      </c>
      <c r="AM204">
        <v>-2.133887290476423</v>
      </c>
      <c r="AN204">
        <v>4.1821680708921304E-2</v>
      </c>
      <c r="AO204">
        <v>1.4642601890171976</v>
      </c>
      <c r="AP204">
        <v>4.6532900000000001</v>
      </c>
      <c r="AQ204" t="s">
        <v>330</v>
      </c>
      <c r="AR204">
        <v>4.6701230000000002</v>
      </c>
      <c r="AS204">
        <v>4.6701230000000002</v>
      </c>
      <c r="AT204">
        <v>4.6307884856070087</v>
      </c>
      <c r="AU204">
        <v>8.2308190586760226</v>
      </c>
      <c r="AV204">
        <v>8.2308190586760226</v>
      </c>
      <c r="AW204">
        <v>0</v>
      </c>
    </row>
    <row r="205" spans="2:49" ht="15" customHeight="1" x14ac:dyDescent="0.2">
      <c r="B205" t="s">
        <v>744</v>
      </c>
      <c r="C205" t="s">
        <v>745</v>
      </c>
      <c r="N205" t="s">
        <v>89</v>
      </c>
      <c r="O205">
        <v>171.26025398293825</v>
      </c>
      <c r="P205">
        <v>81.93025281269108</v>
      </c>
      <c r="Q205">
        <v>19.936075831054307</v>
      </c>
      <c r="R205" t="s">
        <v>1013</v>
      </c>
      <c r="S205">
        <v>0.9550438328134857</v>
      </c>
      <c r="T205">
        <v>1.5807175538137022</v>
      </c>
      <c r="U205">
        <v>1.8887597180496758E-3</v>
      </c>
      <c r="V205">
        <v>0.50829836046455423</v>
      </c>
      <c r="W205">
        <v>5.2052648924291136E-5</v>
      </c>
      <c r="X205">
        <v>0.68595053557598784</v>
      </c>
      <c r="Y205">
        <v>-1.6728795081496157</v>
      </c>
      <c r="Z205">
        <v>0</v>
      </c>
      <c r="AA205">
        <v>4.1236528645073572E-2</v>
      </c>
      <c r="AB205">
        <v>1.0336630606156896</v>
      </c>
      <c r="AC205">
        <v>0</v>
      </c>
      <c r="AD205">
        <v>17126025.398293823</v>
      </c>
      <c r="AE205">
        <v>4.6246856460318959E-2</v>
      </c>
      <c r="AF205">
        <v>95.892328033719863</v>
      </c>
      <c r="AG205">
        <v>75.367925949218403</v>
      </c>
      <c r="AH205">
        <v>165.51256596851994</v>
      </c>
      <c r="AI205">
        <v>3.9774340314800725</v>
      </c>
      <c r="AJ205">
        <v>2.4031009417354876</v>
      </c>
      <c r="AK205">
        <v>5.9209649920188214</v>
      </c>
      <c r="AL205">
        <v>-0.84418195996712897</v>
      </c>
      <c r="AM205">
        <v>-2.768252568906918</v>
      </c>
      <c r="AN205">
        <v>-0.55686712294686858</v>
      </c>
      <c r="AO205">
        <v>0.49807183902715729</v>
      </c>
      <c r="AP205">
        <v>-8.2179779600186738</v>
      </c>
      <c r="AQ205" t="s">
        <v>330</v>
      </c>
      <c r="AR205">
        <v>-15.409821873183738</v>
      </c>
      <c r="AS205">
        <v>-8.2179780000000004</v>
      </c>
      <c r="AT205">
        <v>0</v>
      </c>
      <c r="AU205">
        <v>0</v>
      </c>
      <c r="AV205">
        <v>0</v>
      </c>
      <c r="AW205">
        <v>0</v>
      </c>
    </row>
    <row r="206" spans="2:49" ht="15" customHeight="1" x14ac:dyDescent="0.2">
      <c r="B206" t="s">
        <v>746</v>
      </c>
      <c r="C206" t="s">
        <v>747</v>
      </c>
      <c r="N206" t="s">
        <v>89</v>
      </c>
      <c r="O206">
        <v>108.85122177580743</v>
      </c>
      <c r="P206" t="s">
        <v>330</v>
      </c>
      <c r="Q206">
        <v>22.062225476130912</v>
      </c>
      <c r="R206" t="s">
        <v>1013</v>
      </c>
      <c r="S206" t="s">
        <v>330</v>
      </c>
      <c r="T206" t="s">
        <v>330</v>
      </c>
      <c r="U206" t="s">
        <v>330</v>
      </c>
      <c r="V206" t="s">
        <v>330</v>
      </c>
      <c r="W206" t="s">
        <v>330</v>
      </c>
      <c r="X206" t="s">
        <v>330</v>
      </c>
      <c r="Y206" t="s">
        <v>330</v>
      </c>
      <c r="Z206" t="s">
        <v>330</v>
      </c>
      <c r="AA206" t="s">
        <v>330</v>
      </c>
      <c r="AB206">
        <v>-0.45178934711954838</v>
      </c>
      <c r="AC206">
        <v>128.50122880573588</v>
      </c>
      <c r="AD206">
        <v>10885122.177580742</v>
      </c>
      <c r="AE206">
        <v>4.3782028978059065E-2</v>
      </c>
      <c r="AF206">
        <v>99.041702279903092</v>
      </c>
      <c r="AG206">
        <v>9.8095194959043344</v>
      </c>
      <c r="AH206">
        <v>103.84615384615395</v>
      </c>
      <c r="AI206">
        <v>5.4968461538460502</v>
      </c>
      <c r="AJ206">
        <v>5.2932592592591536</v>
      </c>
      <c r="AK206">
        <v>0.79056460798173789</v>
      </c>
      <c r="AL206">
        <v>-0.4136052214551717</v>
      </c>
      <c r="AM206">
        <v>-0.93237988580837849</v>
      </c>
      <c r="AN206">
        <v>2.358939060033605E-2</v>
      </c>
      <c r="AO206">
        <v>0.37997297109539369</v>
      </c>
      <c r="AP206">
        <v>-9.1008329999999997</v>
      </c>
      <c r="AQ206" t="s">
        <v>330</v>
      </c>
      <c r="AR206">
        <v>-9.1008329999999997</v>
      </c>
      <c r="AS206">
        <v>-9.1008329999999997</v>
      </c>
      <c r="AT206">
        <v>0</v>
      </c>
      <c r="AU206">
        <v>0</v>
      </c>
      <c r="AV206">
        <v>0</v>
      </c>
      <c r="AW206">
        <v>0</v>
      </c>
    </row>
    <row r="207" spans="2:49" ht="15" customHeight="1" x14ac:dyDescent="0.2">
      <c r="B207" t="s">
        <v>748</v>
      </c>
      <c r="C207" t="s">
        <v>749</v>
      </c>
      <c r="N207" t="s">
        <v>89</v>
      </c>
      <c r="O207">
        <v>97.273101707920489</v>
      </c>
      <c r="P207">
        <v>400.03446046932726</v>
      </c>
      <c r="Q207">
        <v>47.029915146664685</v>
      </c>
      <c r="R207" t="s">
        <v>1013</v>
      </c>
      <c r="S207">
        <v>0.44595133605807058</v>
      </c>
      <c r="T207">
        <v>0.27069898268726122</v>
      </c>
      <c r="U207">
        <v>5.1886832858055541E-3</v>
      </c>
      <c r="V207">
        <v>0.34405098988943339</v>
      </c>
      <c r="W207">
        <v>6.6182661326593005E-3</v>
      </c>
      <c r="X207">
        <v>1.9760087735737054E-2</v>
      </c>
      <c r="Y207">
        <v>-0.53210008369756168</v>
      </c>
      <c r="Z207">
        <v>0</v>
      </c>
      <c r="AA207">
        <v>0.18723610459666498</v>
      </c>
      <c r="AB207">
        <v>1.1325925678729095E-3</v>
      </c>
      <c r="AC207">
        <v>144.31163628990393</v>
      </c>
      <c r="AD207">
        <v>972.73101707920489</v>
      </c>
      <c r="AE207">
        <v>1.2160743576168915</v>
      </c>
      <c r="AF207">
        <v>88.718736381984897</v>
      </c>
      <c r="AG207">
        <v>8.5543653259356009</v>
      </c>
      <c r="AH207">
        <v>60.701462424144744</v>
      </c>
      <c r="AI207">
        <v>36.570537575855262</v>
      </c>
      <c r="AJ207">
        <v>60.246551096780308</v>
      </c>
      <c r="AK207">
        <v>2.7724345968223072</v>
      </c>
      <c r="AL207">
        <v>-2.1607983618238222</v>
      </c>
      <c r="AM207">
        <v>-2.8978360239530048</v>
      </c>
      <c r="AN207">
        <v>0.14805484390508131</v>
      </c>
      <c r="AO207">
        <v>2.221398102047683</v>
      </c>
      <c r="AP207">
        <v>4.476343</v>
      </c>
      <c r="AQ207" t="s">
        <v>330</v>
      </c>
      <c r="AR207" t="s">
        <v>330</v>
      </c>
      <c r="AS207">
        <v>4.476343</v>
      </c>
      <c r="AT207">
        <v>3.7266633769224442</v>
      </c>
      <c r="AU207">
        <v>0</v>
      </c>
      <c r="AV207">
        <v>0</v>
      </c>
      <c r="AW207">
        <v>0</v>
      </c>
    </row>
    <row r="208" spans="2:49" ht="15" customHeight="1" x14ac:dyDescent="0.2">
      <c r="B208" t="s">
        <v>750</v>
      </c>
      <c r="C208" t="s">
        <v>751</v>
      </c>
      <c r="N208" t="s">
        <v>89</v>
      </c>
      <c r="O208">
        <v>106.75704466611833</v>
      </c>
      <c r="P208">
        <v>257.22161759206693</v>
      </c>
      <c r="Q208">
        <v>37.301688118757568</v>
      </c>
      <c r="R208" t="s">
        <v>1013</v>
      </c>
      <c r="S208">
        <v>0.64474343089310815</v>
      </c>
      <c r="T208">
        <v>0.5629330853950284</v>
      </c>
      <c r="U208">
        <v>6.7389667802496035E-3</v>
      </c>
      <c r="V208">
        <v>0.78985311330701224</v>
      </c>
      <c r="W208">
        <v>-3.9687655778042974E-3</v>
      </c>
      <c r="X208">
        <v>0</v>
      </c>
      <c r="Y208">
        <v>-2.2781209240391771</v>
      </c>
      <c r="Z208">
        <v>0</v>
      </c>
      <c r="AA208">
        <v>0.15405557030608835</v>
      </c>
      <c r="AB208">
        <v>-3.8245301250620889</v>
      </c>
      <c r="AC208">
        <v>0</v>
      </c>
      <c r="AD208">
        <v>10675704.466611834</v>
      </c>
      <c r="AE208">
        <v>0.16232211228231036</v>
      </c>
      <c r="AF208">
        <v>87.522714425534517</v>
      </c>
      <c r="AG208">
        <v>19.234330240583812</v>
      </c>
      <c r="AH208">
        <v>87.311178124800009</v>
      </c>
      <c r="AI208">
        <v>23.528824948470699</v>
      </c>
      <c r="AJ208">
        <v>26.948239941318462</v>
      </c>
      <c r="AK208">
        <v>5.1370643872631074</v>
      </c>
      <c r="AL208">
        <v>-2.4410434060340749</v>
      </c>
      <c r="AM208">
        <v>-4.2160684559330344</v>
      </c>
      <c r="AN208">
        <v>0.46455469986890086</v>
      </c>
      <c r="AO208">
        <v>2.2023127084392589</v>
      </c>
      <c r="AP208">
        <v>-0.83799599999999996</v>
      </c>
      <c r="AQ208" t="s">
        <v>330</v>
      </c>
      <c r="AR208">
        <v>-1.782151</v>
      </c>
      <c r="AS208">
        <v>-0.83799599999999996</v>
      </c>
      <c r="AT208">
        <v>0.90220137134608447</v>
      </c>
      <c r="AU208">
        <v>23.528821875199991</v>
      </c>
      <c r="AV208">
        <v>23.528821875199991</v>
      </c>
      <c r="AW208">
        <v>0.22222222222222221</v>
      </c>
    </row>
    <row r="209" spans="2:49" ht="15" customHeight="1" x14ac:dyDescent="0.2">
      <c r="B209" t="s">
        <v>752</v>
      </c>
      <c r="C209" t="s">
        <v>753</v>
      </c>
      <c r="N209" t="s">
        <v>89</v>
      </c>
      <c r="O209">
        <v>103.64207882474587</v>
      </c>
      <c r="P209">
        <v>500</v>
      </c>
      <c r="Q209">
        <v>21.116351942351574</v>
      </c>
      <c r="R209" t="s">
        <v>1013</v>
      </c>
      <c r="S209">
        <v>0.5609464680604298</v>
      </c>
      <c r="T209">
        <v>0.55945326538365237</v>
      </c>
      <c r="U209">
        <v>4.6492844272416241E-2</v>
      </c>
      <c r="V209">
        <v>0.14840047220265493</v>
      </c>
      <c r="W209">
        <v>-3.1953691211175174E-2</v>
      </c>
      <c r="X209">
        <v>0</v>
      </c>
      <c r="Y209">
        <v>-6.5710835661174347E-2</v>
      </c>
      <c r="Z209">
        <v>0</v>
      </c>
      <c r="AA209">
        <v>1.1343658255239253E-2</v>
      </c>
      <c r="AB209">
        <v>0.77968218498617936</v>
      </c>
      <c r="AC209">
        <v>130.92430971022395</v>
      </c>
      <c r="AD209">
        <v>10364207.882474586</v>
      </c>
      <c r="AE209">
        <v>0.16591140729052556</v>
      </c>
      <c r="AF209">
        <v>99.853894951151119</v>
      </c>
      <c r="AG209">
        <v>3.7881838735947388</v>
      </c>
      <c r="AH209">
        <v>99.733806564119988</v>
      </c>
      <c r="AI209">
        <v>3.1001898254004914</v>
      </c>
      <c r="AJ209">
        <v>3.1084642409360757</v>
      </c>
      <c r="AK209">
        <v>0.17135218377339978</v>
      </c>
      <c r="AL209">
        <v>-8.6393982720002538E-2</v>
      </c>
      <c r="AM209">
        <v>-0.16988539045527579</v>
      </c>
      <c r="AN209">
        <v>2.8649745003491101E-2</v>
      </c>
      <c r="AO209">
        <v>8.4013052803549926E-2</v>
      </c>
      <c r="AP209">
        <v>-16.001988000000001</v>
      </c>
      <c r="AQ209" t="s">
        <v>330</v>
      </c>
      <c r="AR209" t="s">
        <v>330</v>
      </c>
      <c r="AS209">
        <v>-16.001988000000001</v>
      </c>
      <c r="AT209">
        <v>0</v>
      </c>
      <c r="AU209">
        <v>0</v>
      </c>
      <c r="AV209">
        <v>0</v>
      </c>
      <c r="AW209">
        <v>0</v>
      </c>
    </row>
    <row r="210" spans="2:49" ht="15" customHeight="1" x14ac:dyDescent="0.2">
      <c r="B210" t="s">
        <v>754</v>
      </c>
      <c r="C210" t="s">
        <v>755</v>
      </c>
      <c r="N210" t="s">
        <v>89</v>
      </c>
      <c r="O210">
        <v>125.06410714001761</v>
      </c>
      <c r="P210" t="s">
        <v>330</v>
      </c>
      <c r="Q210">
        <v>60.552920183129999</v>
      </c>
      <c r="R210" t="s">
        <v>1013</v>
      </c>
      <c r="S210" t="s">
        <v>330</v>
      </c>
      <c r="T210" t="s">
        <v>330</v>
      </c>
      <c r="U210" t="s">
        <v>330</v>
      </c>
      <c r="V210" t="s">
        <v>330</v>
      </c>
      <c r="W210" t="s">
        <v>330</v>
      </c>
      <c r="X210" t="s">
        <v>330</v>
      </c>
      <c r="Y210" t="s">
        <v>330</v>
      </c>
      <c r="Z210" t="s">
        <v>330</v>
      </c>
      <c r="AA210" t="s">
        <v>330</v>
      </c>
      <c r="AB210">
        <v>-4.4616261112673454</v>
      </c>
      <c r="AC210">
        <v>142.9334701223153</v>
      </c>
      <c r="AD210">
        <v>1250.6410714001761</v>
      </c>
      <c r="AE210">
        <v>1.4527465868652087</v>
      </c>
      <c r="AF210">
        <v>87.211295904060776</v>
      </c>
      <c r="AG210">
        <v>37.852811235956821</v>
      </c>
      <c r="AH210">
        <v>118.33342871459963</v>
      </c>
      <c r="AI210">
        <v>12.310571285400371</v>
      </c>
      <c r="AJ210">
        <v>10.403291292345971</v>
      </c>
      <c r="AK210">
        <v>1.5785672394107459</v>
      </c>
      <c r="AL210">
        <v>-0.63935098700721937</v>
      </c>
      <c r="AM210">
        <v>-1.8573900260491882</v>
      </c>
      <c r="AN210">
        <v>3.2280770067992667E-2</v>
      </c>
      <c r="AO210">
        <v>0.5112186075029691</v>
      </c>
      <c r="AP210">
        <v>-12.982224</v>
      </c>
      <c r="AQ210" t="s">
        <v>330</v>
      </c>
      <c r="AR210" t="s">
        <v>330</v>
      </c>
      <c r="AS210">
        <v>-12.982224</v>
      </c>
      <c r="AT210">
        <v>0.19135972566669729</v>
      </c>
      <c r="AU210">
        <v>49.242285141601499</v>
      </c>
      <c r="AV210">
        <v>49.242285141601499</v>
      </c>
      <c r="AW210">
        <v>9.7222222222222224E-3</v>
      </c>
    </row>
    <row r="211" spans="2:49" ht="15" customHeight="1" x14ac:dyDescent="0.2">
      <c r="B211" t="s">
        <v>756</v>
      </c>
      <c r="C211" t="s">
        <v>757</v>
      </c>
      <c r="N211" t="s">
        <v>89</v>
      </c>
      <c r="O211">
        <v>99.611277626246334</v>
      </c>
      <c r="P211">
        <v>256.82019705803469</v>
      </c>
      <c r="Q211" t="s">
        <v>330</v>
      </c>
      <c r="R211" t="s">
        <v>1013</v>
      </c>
      <c r="S211">
        <v>7.1580304143824544E-14</v>
      </c>
      <c r="T211">
        <v>5.9033431059816432E-15</v>
      </c>
      <c r="U211">
        <v>-9.3446382676282973E-14</v>
      </c>
      <c r="V211">
        <v>1.1368683772161604E-14</v>
      </c>
      <c r="W211">
        <v>1.9743127940841987E-2</v>
      </c>
      <c r="X211">
        <v>0</v>
      </c>
      <c r="Y211">
        <v>-2.7748937950121505E-5</v>
      </c>
      <c r="Z211">
        <v>0</v>
      </c>
      <c r="AA211">
        <v>1.8740735497278155E-3</v>
      </c>
      <c r="AB211">
        <v>-7.3006165051437782E-2</v>
      </c>
      <c r="AC211">
        <v>0</v>
      </c>
      <c r="AD211">
        <v>996.11277626246329</v>
      </c>
      <c r="AE211">
        <v>1.1703808419181297E-13</v>
      </c>
      <c r="AF211">
        <v>99.640138691168318</v>
      </c>
      <c r="AG211">
        <v>-2.8861064921989053E-2</v>
      </c>
      <c r="AH211">
        <v>8.2471612500000013</v>
      </c>
      <c r="AI211">
        <v>91.436838749999993</v>
      </c>
      <c r="AJ211">
        <v>1108.7068141174029</v>
      </c>
      <c r="AK211">
        <v>4.3794619045024658E-2</v>
      </c>
      <c r="AL211">
        <v>-4.4047950846959338E-2</v>
      </c>
      <c r="AM211">
        <v>-5.1074949268127057E-2</v>
      </c>
      <c r="AN211">
        <v>-5.5158671973290548E-3</v>
      </c>
      <c r="AO211">
        <v>4.4187583611170644E-2</v>
      </c>
      <c r="AP211">
        <v>7.6080414108584877</v>
      </c>
      <c r="AQ211" t="s">
        <v>330</v>
      </c>
      <c r="AR211" t="s">
        <v>330</v>
      </c>
      <c r="AS211">
        <v>7.6080410000000001</v>
      </c>
      <c r="AT211">
        <v>0</v>
      </c>
      <c r="AU211">
        <v>0</v>
      </c>
      <c r="AV211">
        <v>0</v>
      </c>
      <c r="AW211">
        <v>0</v>
      </c>
    </row>
    <row r="212" spans="2:49" ht="15" customHeight="1" x14ac:dyDescent="0.2">
      <c r="B212" t="s">
        <v>758</v>
      </c>
      <c r="C212" t="s">
        <v>759</v>
      </c>
      <c r="N212" t="s">
        <v>89</v>
      </c>
      <c r="O212">
        <v>85.341759504970895</v>
      </c>
      <c r="P212">
        <v>61.019469219239099</v>
      </c>
      <c r="Q212">
        <v>73.568251240317281</v>
      </c>
      <c r="R212" t="s">
        <v>1013</v>
      </c>
      <c r="S212">
        <v>7.8029873503386291E-2</v>
      </c>
      <c r="T212">
        <v>3.3362854063707724E-2</v>
      </c>
      <c r="U212">
        <v>3.2506817248497523E-3</v>
      </c>
      <c r="V212">
        <v>0.10291537753512899</v>
      </c>
      <c r="W212">
        <v>1.0967034168356805E-2</v>
      </c>
      <c r="X212">
        <v>0</v>
      </c>
      <c r="Y212">
        <v>-9.1070302723274821E-2</v>
      </c>
      <c r="Z212">
        <v>0</v>
      </c>
      <c r="AA212">
        <v>2.856084940535657E-2</v>
      </c>
      <c r="AB212">
        <v>-10.973807605271604</v>
      </c>
      <c r="AC212">
        <v>138.30040222867339</v>
      </c>
      <c r="AD212">
        <v>853.41759504970889</v>
      </c>
      <c r="AE212">
        <v>0.16849832599687689</v>
      </c>
      <c r="AF212">
        <v>85.933625998285137</v>
      </c>
      <c r="AG212">
        <v>-0.59186649331423946</v>
      </c>
      <c r="AH212">
        <v>42.756514352493284</v>
      </c>
      <c r="AI212">
        <v>51.95048564750671</v>
      </c>
      <c r="AJ212">
        <v>121.50308890761411</v>
      </c>
      <c r="AK212">
        <v>2.7899776853781608</v>
      </c>
      <c r="AL212">
        <v>-2.4744821279415987</v>
      </c>
      <c r="AM212">
        <v>-2.9888438910055584</v>
      </c>
      <c r="AN212">
        <v>-8.2990943365469555E-2</v>
      </c>
      <c r="AO212">
        <v>2.6127763818319649</v>
      </c>
      <c r="AP212">
        <v>3.737323</v>
      </c>
      <c r="AQ212" t="s">
        <v>330</v>
      </c>
      <c r="AR212" t="s">
        <v>330</v>
      </c>
      <c r="AS212">
        <v>3.737323</v>
      </c>
      <c r="AT212">
        <v>1.8478042805706021</v>
      </c>
      <c r="AU212">
        <v>29.685991798575262</v>
      </c>
      <c r="AV212">
        <v>29.685991798575262</v>
      </c>
      <c r="AW212">
        <v>0.29166666666666669</v>
      </c>
    </row>
    <row r="213" spans="2:49" ht="15" customHeight="1" x14ac:dyDescent="0.2">
      <c r="B213" t="s">
        <v>760</v>
      </c>
      <c r="C213" t="s">
        <v>761</v>
      </c>
      <c r="N213" t="s">
        <v>89</v>
      </c>
      <c r="O213">
        <v>95.201426813695733</v>
      </c>
      <c r="P213">
        <v>395.9410198351934</v>
      </c>
      <c r="Q213" t="s">
        <v>330</v>
      </c>
      <c r="R213" t="s">
        <v>1013</v>
      </c>
      <c r="S213">
        <v>3.1275134518968337E-2</v>
      </c>
      <c r="T213">
        <v>2.8367468954633712E-3</v>
      </c>
      <c r="U213">
        <v>6.9639018736075242E-4</v>
      </c>
      <c r="V213">
        <v>6.8303188663630865E-3</v>
      </c>
      <c r="W213">
        <v>2.0226161896629492E-2</v>
      </c>
      <c r="X213">
        <v>0</v>
      </c>
      <c r="Y213">
        <v>-3.4003857020404068E-3</v>
      </c>
      <c r="Z213">
        <v>0</v>
      </c>
      <c r="AA213">
        <v>8.4636852763744608E-2</v>
      </c>
      <c r="AB213">
        <v>4.1863099609788694</v>
      </c>
      <c r="AC213">
        <v>157.5598994281072</v>
      </c>
      <c r="AD213">
        <v>95201.426813695725</v>
      </c>
      <c r="AE213">
        <v>0.11819744686579446</v>
      </c>
      <c r="AF213">
        <v>95.295625179337335</v>
      </c>
      <c r="AG213">
        <v>-9.4198365641612325E-2</v>
      </c>
      <c r="AH213">
        <v>9.0702947855999998</v>
      </c>
      <c r="AI213">
        <v>82.145705214399996</v>
      </c>
      <c r="AJ213">
        <v>905.65639988696421</v>
      </c>
      <c r="AK213">
        <v>1.2041626406088803</v>
      </c>
      <c r="AL213">
        <v>-1.0812841679564735</v>
      </c>
      <c r="AM213">
        <v>-1.2810485229687765</v>
      </c>
      <c r="AN213">
        <v>2.7346642884735022E-2</v>
      </c>
      <c r="AO213">
        <v>1.1854106384367584</v>
      </c>
      <c r="AP213">
        <v>8.2739309999999993</v>
      </c>
      <c r="AQ213" t="s">
        <v>330</v>
      </c>
      <c r="AR213" t="s">
        <v>330</v>
      </c>
      <c r="AS213">
        <v>8.2739309999999993</v>
      </c>
      <c r="AT213">
        <v>0.82222417119803548</v>
      </c>
      <c r="AU213">
        <v>109.52760695253333</v>
      </c>
      <c r="AV213">
        <v>109.52760695253333</v>
      </c>
      <c r="AW213">
        <v>0.18138586956521738</v>
      </c>
    </row>
    <row r="214" spans="2:49" ht="15" customHeight="1" x14ac:dyDescent="0.2">
      <c r="B214" t="s">
        <v>762</v>
      </c>
      <c r="C214" t="s">
        <v>763</v>
      </c>
      <c r="N214" t="s">
        <v>89</v>
      </c>
      <c r="O214">
        <v>112.12972643199666</v>
      </c>
      <c r="P214">
        <v>159.33058765256411</v>
      </c>
      <c r="Q214">
        <v>59.694206388503233</v>
      </c>
      <c r="R214" t="s">
        <v>1013</v>
      </c>
      <c r="S214">
        <v>0.59546285985333691</v>
      </c>
      <c r="T214">
        <v>0.57784398845087903</v>
      </c>
      <c r="U214">
        <v>5.1917427033870128E-3</v>
      </c>
      <c r="V214">
        <v>0.3223508223873523</v>
      </c>
      <c r="W214">
        <v>-7.5807327170878125E-3</v>
      </c>
      <c r="X214">
        <v>0</v>
      </c>
      <c r="Y214">
        <v>-0.36965392451111256</v>
      </c>
      <c r="Z214">
        <v>0</v>
      </c>
      <c r="AA214">
        <v>2.6312835132142869E-2</v>
      </c>
      <c r="AB214">
        <v>-2.781843555014007</v>
      </c>
      <c r="AC214">
        <v>145.25694154769974</v>
      </c>
      <c r="AD214">
        <v>1121.2972643199666</v>
      </c>
      <c r="AE214">
        <v>1.1181408670184925</v>
      </c>
      <c r="AF214">
        <v>89.346608414435963</v>
      </c>
      <c r="AG214">
        <v>22.783118017560696</v>
      </c>
      <c r="AH214">
        <v>96.824028311920159</v>
      </c>
      <c r="AI214">
        <v>18.424971688079836</v>
      </c>
      <c r="AJ214">
        <v>19.02933807786172</v>
      </c>
      <c r="AK214">
        <v>1.1132795071606565</v>
      </c>
      <c r="AL214">
        <v>-0.74699336396986382</v>
      </c>
      <c r="AM214">
        <v>-1.3442840444076865</v>
      </c>
      <c r="AN214">
        <v>-0.69253299921216838</v>
      </c>
      <c r="AO214">
        <v>0.64815604818251249</v>
      </c>
      <c r="AP214">
        <v>-8.9972750000000001</v>
      </c>
      <c r="AQ214" t="s">
        <v>330</v>
      </c>
      <c r="AR214" t="s">
        <v>330</v>
      </c>
      <c r="AS214">
        <v>-8.9972750000000001</v>
      </c>
      <c r="AT214">
        <v>0</v>
      </c>
      <c r="AU214">
        <v>0</v>
      </c>
      <c r="AV214">
        <v>0</v>
      </c>
      <c r="AW214">
        <v>0</v>
      </c>
    </row>
    <row r="215" spans="2:49" ht="15" customHeight="1" x14ac:dyDescent="0.2">
      <c r="B215" t="s">
        <v>764</v>
      </c>
      <c r="C215" t="s">
        <v>765</v>
      </c>
      <c r="N215" t="s">
        <v>89</v>
      </c>
      <c r="O215">
        <v>86.960825696637713</v>
      </c>
      <c r="P215">
        <v>201.92551582308181</v>
      </c>
      <c r="Q215">
        <v>67.884011298163145</v>
      </c>
      <c r="R215" t="s">
        <v>1013</v>
      </c>
      <c r="S215">
        <v>0.39964871981580086</v>
      </c>
      <c r="T215">
        <v>0.19746385914760226</v>
      </c>
      <c r="U215">
        <v>4.3681309410740681E-3</v>
      </c>
      <c r="V215">
        <v>0.29440595207270237</v>
      </c>
      <c r="W215">
        <v>5.8574241512928896E-3</v>
      </c>
      <c r="X215">
        <v>0</v>
      </c>
      <c r="Y215">
        <v>-0.46399322789688302</v>
      </c>
      <c r="Z215">
        <v>0</v>
      </c>
      <c r="AA215">
        <v>0.10337533486116798</v>
      </c>
      <c r="AB215">
        <v>-6.4674803376202723</v>
      </c>
      <c r="AC215">
        <v>144.59301431126889</v>
      </c>
      <c r="AD215">
        <v>869.6082569663771</v>
      </c>
      <c r="AE215">
        <v>0.38457051612590126</v>
      </c>
      <c r="AF215">
        <v>79.894660491390752</v>
      </c>
      <c r="AG215">
        <v>7.0661652052469659</v>
      </c>
      <c r="AH215">
        <v>49.390100265464788</v>
      </c>
      <c r="AI215">
        <v>43.214155575256335</v>
      </c>
      <c r="AJ215">
        <v>87.529707216428093</v>
      </c>
      <c r="AK215">
        <v>2.9988491508029962</v>
      </c>
      <c r="AL215">
        <v>-2.2905297371191295</v>
      </c>
      <c r="AM215">
        <v>-3.0095056002528509</v>
      </c>
      <c r="AN215">
        <v>-0.69713768667652554</v>
      </c>
      <c r="AO215">
        <v>2.4739749820371872</v>
      </c>
      <c r="AP215">
        <v>2.8185210000000001</v>
      </c>
      <c r="AQ215" t="s">
        <v>330</v>
      </c>
      <c r="AR215" t="s">
        <v>330</v>
      </c>
      <c r="AS215">
        <v>2.8185210000000001</v>
      </c>
      <c r="AT215">
        <v>0.54004428363125778</v>
      </c>
      <c r="AU215">
        <v>86.389799469070411</v>
      </c>
      <c r="AV215">
        <v>86.389799469070411</v>
      </c>
      <c r="AW215">
        <v>6.1111111111111109E-2</v>
      </c>
    </row>
    <row r="216" spans="2:49" ht="15" customHeight="1" x14ac:dyDescent="0.2">
      <c r="B216" t="s">
        <v>766</v>
      </c>
      <c r="C216" t="s">
        <v>767</v>
      </c>
      <c r="N216" t="s">
        <v>89</v>
      </c>
      <c r="O216">
        <v>125.81339875790925</v>
      </c>
      <c r="P216">
        <v>228.60471067815655</v>
      </c>
      <c r="Q216">
        <v>40.563354791073252</v>
      </c>
      <c r="R216" t="s">
        <v>1013</v>
      </c>
      <c r="S216">
        <v>0.81775687847609957</v>
      </c>
      <c r="T216">
        <v>0.99175565861004389</v>
      </c>
      <c r="U216">
        <v>5.2687497629412428E-3</v>
      </c>
      <c r="V216">
        <v>0.312266641208646</v>
      </c>
      <c r="W216">
        <v>4.4080914926553309E-3</v>
      </c>
      <c r="X216">
        <v>1.0860135355345242</v>
      </c>
      <c r="Y216">
        <v>-0.68029235860902326</v>
      </c>
      <c r="Z216">
        <v>0</v>
      </c>
      <c r="AA216">
        <v>2.44712988299093E-2</v>
      </c>
      <c r="AB216">
        <v>-1.8317613742597203</v>
      </c>
      <c r="AC216">
        <v>140.24731705999739</v>
      </c>
      <c r="AD216">
        <v>1258.1339875790925</v>
      </c>
      <c r="AE216">
        <v>0.90587903018267246</v>
      </c>
      <c r="AF216">
        <v>92.079858133983478</v>
      </c>
      <c r="AG216">
        <v>33.733540623925798</v>
      </c>
      <c r="AH216">
        <v>121.27756851867674</v>
      </c>
      <c r="AI216">
        <v>6.8404314813232503</v>
      </c>
      <c r="AJ216">
        <v>5.6403105412439265</v>
      </c>
      <c r="AK216">
        <v>0.84445467485909209</v>
      </c>
      <c r="AL216">
        <v>-0.41258359594201011</v>
      </c>
      <c r="AM216">
        <v>-1.2473790139154062</v>
      </c>
      <c r="AN216">
        <v>1.1815003238048967</v>
      </c>
      <c r="AO216">
        <v>0.32203405918138756</v>
      </c>
      <c r="AP216">
        <v>-11.551227000000001</v>
      </c>
      <c r="AQ216" t="s">
        <v>330</v>
      </c>
      <c r="AR216" t="s">
        <v>330</v>
      </c>
      <c r="AS216">
        <v>-11.551227000000001</v>
      </c>
      <c r="AT216">
        <v>1.9513261212319892</v>
      </c>
      <c r="AU216">
        <v>3.571667759711179</v>
      </c>
      <c r="AV216">
        <v>3.5149888312622961</v>
      </c>
      <c r="AW216">
        <v>0.625</v>
      </c>
    </row>
    <row r="217" spans="2:49" ht="15" customHeight="1" x14ac:dyDescent="0.2">
      <c r="B217" t="s">
        <v>768</v>
      </c>
      <c r="C217" t="s">
        <v>769</v>
      </c>
      <c r="N217" t="s">
        <v>89</v>
      </c>
      <c r="O217">
        <v>105.60938122579837</v>
      </c>
      <c r="P217" t="s">
        <v>330</v>
      </c>
      <c r="Q217">
        <v>40.407473008470717</v>
      </c>
      <c r="R217" t="s">
        <v>1013</v>
      </c>
      <c r="S217" t="s">
        <v>330</v>
      </c>
      <c r="T217" t="s">
        <v>330</v>
      </c>
      <c r="U217" t="s">
        <v>330</v>
      </c>
      <c r="V217" t="s">
        <v>330</v>
      </c>
      <c r="W217" t="s">
        <v>330</v>
      </c>
      <c r="X217" t="s">
        <v>330</v>
      </c>
      <c r="Y217" t="s">
        <v>330</v>
      </c>
      <c r="Z217" t="s">
        <v>330</v>
      </c>
      <c r="AA217" t="s">
        <v>330</v>
      </c>
      <c r="AB217">
        <v>-9.8784962596231338</v>
      </c>
      <c r="AC217">
        <v>0</v>
      </c>
      <c r="AD217">
        <v>10560938.122579837</v>
      </c>
      <c r="AE217">
        <v>5.0379854189067645E-2</v>
      </c>
      <c r="AF217">
        <v>89.896195160317191</v>
      </c>
      <c r="AG217">
        <v>15.713186065481175</v>
      </c>
      <c r="AH217">
        <v>107.91984732823947</v>
      </c>
      <c r="AI217">
        <v>8.1221526717605315</v>
      </c>
      <c r="AJ217">
        <v>7.5260972590675639</v>
      </c>
      <c r="AK217">
        <v>1.4072139113503632</v>
      </c>
      <c r="AL217">
        <v>-9.742349307611585E-2</v>
      </c>
      <c r="AM217">
        <v>-5.4099261278100309E-2</v>
      </c>
      <c r="AN217">
        <v>0.16621699600266276</v>
      </c>
      <c r="AO217">
        <v>9.2248900566720804E-2</v>
      </c>
      <c r="AP217">
        <v>-2.834079</v>
      </c>
      <c r="AQ217" t="s">
        <v>330</v>
      </c>
      <c r="AR217">
        <v>-6.6036830000000002</v>
      </c>
      <c r="AS217">
        <v>-2.834079</v>
      </c>
      <c r="AT217">
        <v>0</v>
      </c>
      <c r="AU217">
        <v>0</v>
      </c>
      <c r="AV217">
        <v>0</v>
      </c>
      <c r="AW217">
        <v>0</v>
      </c>
    </row>
    <row r="218" spans="2:49" ht="15" customHeight="1" x14ac:dyDescent="0.2">
      <c r="B218" t="s">
        <v>770</v>
      </c>
      <c r="C218" t="s">
        <v>771</v>
      </c>
      <c r="N218" t="s">
        <v>89</v>
      </c>
      <c r="O218">
        <v>139.9449675898986</v>
      </c>
      <c r="P218">
        <v>232.50480358958382</v>
      </c>
      <c r="Q218">
        <v>49.118113581229821</v>
      </c>
      <c r="R218" t="s">
        <v>1013</v>
      </c>
      <c r="S218">
        <v>0.85010153235981434</v>
      </c>
      <c r="T218">
        <v>1.1118935817969184</v>
      </c>
      <c r="U218">
        <v>3.6316997507481624E-3</v>
      </c>
      <c r="V218">
        <v>0.55388047448277578</v>
      </c>
      <c r="W218">
        <v>5.5330324631313486E-3</v>
      </c>
      <c r="X218">
        <v>0</v>
      </c>
      <c r="Y218">
        <v>-1.58964700458028</v>
      </c>
      <c r="Z218">
        <v>0</v>
      </c>
      <c r="AA218">
        <v>6.0831103071587352E-2</v>
      </c>
      <c r="AB218">
        <v>-3.3934999535089987</v>
      </c>
      <c r="AC218">
        <v>142.4634397617543</v>
      </c>
      <c r="AD218">
        <v>1399.4496758989858</v>
      </c>
      <c r="AE218">
        <v>0.44281802066928672</v>
      </c>
      <c r="AF218">
        <v>83.388358540222143</v>
      </c>
      <c r="AG218">
        <v>56.556609049676467</v>
      </c>
      <c r="AH218">
        <v>130.79538613586428</v>
      </c>
      <c r="AI218">
        <v>13.898613864135712</v>
      </c>
      <c r="AJ218">
        <v>10.626226409621564</v>
      </c>
      <c r="AK218">
        <v>2.4095322802211685</v>
      </c>
      <c r="AL218">
        <v>-1.1055029028650551</v>
      </c>
      <c r="AM218">
        <v>-2.871378996948124</v>
      </c>
      <c r="AN218">
        <v>2.8820956535693616E-2</v>
      </c>
      <c r="AO218">
        <v>0.76402815795060974</v>
      </c>
      <c r="AP218">
        <v>-7.6775669999999998</v>
      </c>
      <c r="AQ218" t="s">
        <v>330</v>
      </c>
      <c r="AR218" t="s">
        <v>330</v>
      </c>
      <c r="AS218">
        <v>-7.6775669999999998</v>
      </c>
      <c r="AT218">
        <v>1.5550057362433827</v>
      </c>
      <c r="AU218">
        <v>6.1771617173936448</v>
      </c>
      <c r="AV218">
        <v>6.1771617173936448</v>
      </c>
      <c r="AW218">
        <v>0.46249999999999997</v>
      </c>
    </row>
    <row r="219" spans="2:49" ht="15" customHeight="1" x14ac:dyDescent="0.2">
      <c r="B219" t="s">
        <v>772</v>
      </c>
      <c r="C219" t="s">
        <v>773</v>
      </c>
      <c r="N219" t="s">
        <v>89</v>
      </c>
      <c r="O219">
        <v>93.136415633505806</v>
      </c>
      <c r="P219">
        <v>143.79206093793022</v>
      </c>
      <c r="Q219">
        <v>42.745693132621625</v>
      </c>
      <c r="R219" t="s">
        <v>1013</v>
      </c>
      <c r="S219">
        <v>0.32472711858948111</v>
      </c>
      <c r="T219">
        <v>0.23661318374773319</v>
      </c>
      <c r="U219">
        <v>8.9434885740791951E-3</v>
      </c>
      <c r="V219">
        <v>0.37953163133474066</v>
      </c>
      <c r="W219">
        <v>-2.5847743640467526E-3</v>
      </c>
      <c r="X219">
        <v>2.2903078692191218E-2</v>
      </c>
      <c r="Y219">
        <v>-0.44333497681574019</v>
      </c>
      <c r="Z219">
        <v>0</v>
      </c>
      <c r="AA219">
        <v>5.3515032659808053E-2</v>
      </c>
      <c r="AB219">
        <v>-6.4546013775642059</v>
      </c>
      <c r="AC219">
        <v>142.27220600857092</v>
      </c>
      <c r="AD219">
        <v>9313641.5633505806</v>
      </c>
      <c r="AE219">
        <v>1.3141526450859939E-2</v>
      </c>
      <c r="AF219">
        <v>89.080764857424981</v>
      </c>
      <c r="AG219">
        <v>4.0556507760808245</v>
      </c>
      <c r="AH219">
        <v>72.865236748784994</v>
      </c>
      <c r="AI219">
        <v>26.282763251215002</v>
      </c>
      <c r="AJ219">
        <v>36.070373780338066</v>
      </c>
      <c r="AK219">
        <v>2.2301692508887503</v>
      </c>
      <c r="AL219">
        <v>-1.7600243055677973</v>
      </c>
      <c r="AM219">
        <v>-2.4682870550896974</v>
      </c>
      <c r="AN219">
        <v>9.7752562030643683E-2</v>
      </c>
      <c r="AO219">
        <v>1.7751485713960919</v>
      </c>
      <c r="AP219">
        <v>0.36433900000000002</v>
      </c>
      <c r="AQ219" t="s">
        <v>330</v>
      </c>
      <c r="AR219" t="s">
        <v>330</v>
      </c>
      <c r="AS219">
        <v>0.36433900000000002</v>
      </c>
      <c r="AT219">
        <v>0</v>
      </c>
      <c r="AU219">
        <v>0</v>
      </c>
      <c r="AV219">
        <v>0</v>
      </c>
      <c r="AW219">
        <v>0</v>
      </c>
    </row>
    <row r="220" spans="2:49" ht="15" customHeight="1" x14ac:dyDescent="0.2">
      <c r="B220" t="s">
        <v>774</v>
      </c>
      <c r="C220" t="s">
        <v>775</v>
      </c>
      <c r="N220" t="s">
        <v>89</v>
      </c>
      <c r="O220">
        <v>104.55393126581941</v>
      </c>
      <c r="P220">
        <v>230.67470653690927</v>
      </c>
      <c r="Q220">
        <v>30.308314042967826</v>
      </c>
      <c r="R220" t="s">
        <v>1013</v>
      </c>
      <c r="S220">
        <v>0.40182416750760519</v>
      </c>
      <c r="T220">
        <v>0.28811114792142967</v>
      </c>
      <c r="U220">
        <v>9.009347496786663E-3</v>
      </c>
      <c r="V220">
        <v>0.39429097821265485</v>
      </c>
      <c r="W220">
        <v>4.591247331381965E-3</v>
      </c>
      <c r="X220">
        <v>5.9079529121113632E-2</v>
      </c>
      <c r="Y220">
        <v>-0.52826229907454614</v>
      </c>
      <c r="Z220">
        <v>0</v>
      </c>
      <c r="AA220">
        <v>7.2622525768422652E-2</v>
      </c>
      <c r="AB220">
        <v>0.95446556024972684</v>
      </c>
      <c r="AC220">
        <v>0</v>
      </c>
      <c r="AD220">
        <v>1045.5393126581941</v>
      </c>
      <c r="AE220">
        <v>1.7382336162391856</v>
      </c>
      <c r="AF220">
        <v>98.14230415908456</v>
      </c>
      <c r="AG220">
        <v>6.4116271067348629</v>
      </c>
      <c r="AH220">
        <v>71.700801300354016</v>
      </c>
      <c r="AI220">
        <v>31.855198699645982</v>
      </c>
      <c r="AJ220">
        <v>44.427953554109997</v>
      </c>
      <c r="AK220">
        <v>2.0417037507184537</v>
      </c>
      <c r="AL220">
        <v>-1.5007663486436513</v>
      </c>
      <c r="AM220">
        <v>-2.2429803622321742</v>
      </c>
      <c r="AN220">
        <v>3.0418637832310021E-2</v>
      </c>
      <c r="AO220">
        <v>1.4492316704427086</v>
      </c>
      <c r="AP220">
        <v>2.5196580000000002</v>
      </c>
      <c r="AQ220" t="s">
        <v>330</v>
      </c>
      <c r="AR220" t="s">
        <v>330</v>
      </c>
      <c r="AS220">
        <v>2.5196580000000002</v>
      </c>
      <c r="AT220">
        <v>4.1040596392290167</v>
      </c>
      <c r="AU220">
        <v>11.93491809210062</v>
      </c>
      <c r="AV220">
        <v>10.10437751041035</v>
      </c>
      <c r="AW220">
        <v>1.5819444444444446</v>
      </c>
    </row>
    <row r="221" spans="2:49" ht="15" customHeight="1" x14ac:dyDescent="0.2">
      <c r="B221" t="s">
        <v>776</v>
      </c>
      <c r="C221" t="s">
        <v>777</v>
      </c>
      <c r="N221" t="s">
        <v>89</v>
      </c>
      <c r="O221">
        <v>102.40542865706537</v>
      </c>
      <c r="P221" t="s">
        <v>330</v>
      </c>
      <c r="Q221">
        <v>24.737937022942162</v>
      </c>
      <c r="R221" t="s">
        <v>1013</v>
      </c>
      <c r="S221" t="s">
        <v>330</v>
      </c>
      <c r="T221" t="s">
        <v>330</v>
      </c>
      <c r="U221" t="s">
        <v>330</v>
      </c>
      <c r="V221" t="s">
        <v>330</v>
      </c>
      <c r="W221" t="s">
        <v>330</v>
      </c>
      <c r="X221" t="s">
        <v>330</v>
      </c>
      <c r="Y221" t="s">
        <v>330</v>
      </c>
      <c r="Z221" t="s">
        <v>330</v>
      </c>
      <c r="AA221" t="s">
        <v>330</v>
      </c>
      <c r="AB221">
        <v>-0.71829330981847672</v>
      </c>
      <c r="AC221">
        <v>136.1362151708052</v>
      </c>
      <c r="AD221">
        <v>102405.42865706536</v>
      </c>
      <c r="AE221">
        <v>8.5735463549106168</v>
      </c>
      <c r="AF221">
        <v>99.465846932500341</v>
      </c>
      <c r="AG221">
        <v>2.9395817245650395</v>
      </c>
      <c r="AH221">
        <v>99.122969585436763</v>
      </c>
      <c r="AI221">
        <v>4.0180304145632419</v>
      </c>
      <c r="AJ221">
        <v>4.0535815577034269</v>
      </c>
      <c r="AK221">
        <v>0.18059055047740988</v>
      </c>
      <c r="AL221">
        <v>-9.7041900521217028E-2</v>
      </c>
      <c r="AM221">
        <v>-0.21032254798774375</v>
      </c>
      <c r="AN221">
        <v>2.2033058054538065E-3</v>
      </c>
      <c r="AO221">
        <v>9.4762457219128807E-2</v>
      </c>
      <c r="AP221">
        <v>-16.866529985464371</v>
      </c>
      <c r="AQ221" t="s">
        <v>330</v>
      </c>
      <c r="AR221" t="s">
        <v>330</v>
      </c>
      <c r="AS221">
        <v>-16.866529985464371</v>
      </c>
      <c r="AT221">
        <v>0</v>
      </c>
      <c r="AU221">
        <v>0</v>
      </c>
      <c r="AV221">
        <v>0</v>
      </c>
      <c r="AW221">
        <v>0</v>
      </c>
    </row>
    <row r="222" spans="2:49" ht="15" customHeight="1" x14ac:dyDescent="0.2">
      <c r="B222" t="s">
        <v>778</v>
      </c>
      <c r="C222" t="s">
        <v>779</v>
      </c>
      <c r="N222" t="s">
        <v>89</v>
      </c>
      <c r="O222">
        <v>92.175635083813773</v>
      </c>
      <c r="P222">
        <v>198.4048529943496</v>
      </c>
      <c r="Q222">
        <v>59.30826922401549</v>
      </c>
      <c r="R222" t="s">
        <v>1013</v>
      </c>
      <c r="S222">
        <v>0.40917218990736848</v>
      </c>
      <c r="T222">
        <v>0.23825804243260595</v>
      </c>
      <c r="U222">
        <v>5.3156033026778102E-3</v>
      </c>
      <c r="V222">
        <v>0.33718307761208732</v>
      </c>
      <c r="W222">
        <v>4.8766127904627862E-3</v>
      </c>
      <c r="X222">
        <v>0</v>
      </c>
      <c r="Y222">
        <v>-0.48904362213462832</v>
      </c>
      <c r="Z222">
        <v>0</v>
      </c>
      <c r="AA222">
        <v>8.6699402749510351E-2</v>
      </c>
      <c r="AB222">
        <v>-5.8598618943876577</v>
      </c>
      <c r="AC222">
        <v>143.17355041933357</v>
      </c>
      <c r="AD222">
        <v>921.75635083813768</v>
      </c>
      <c r="AE222">
        <v>1.4953935478549611</v>
      </c>
      <c r="AF222">
        <v>84.55254547443549</v>
      </c>
      <c r="AG222">
        <v>7.6230896093782805</v>
      </c>
      <c r="AH222">
        <v>58.211002678966523</v>
      </c>
      <c r="AI222">
        <v>39.365997321033475</v>
      </c>
      <c r="AJ222">
        <v>67.62638592249786</v>
      </c>
      <c r="AK222">
        <v>2.6760295989335279</v>
      </c>
      <c r="AL222">
        <v>-2.0486505414928615</v>
      </c>
      <c r="AM222">
        <v>-2.8198450788983109</v>
      </c>
      <c r="AN222">
        <v>-0.32006801978685029</v>
      </c>
      <c r="AO222">
        <v>2.0995219585484914</v>
      </c>
      <c r="AP222">
        <v>2.3418318183069768</v>
      </c>
      <c r="AQ222" t="s">
        <v>330</v>
      </c>
      <c r="AR222" t="s">
        <v>330</v>
      </c>
      <c r="AS222">
        <v>2.3418320000000001</v>
      </c>
      <c r="AT222">
        <v>1.5372475070969593</v>
      </c>
      <c r="AU222">
        <v>26.243998214022319</v>
      </c>
      <c r="AV222">
        <v>26.243998214022319</v>
      </c>
      <c r="AW222">
        <v>0</v>
      </c>
    </row>
    <row r="223" spans="2:49" ht="15" customHeight="1" x14ac:dyDescent="0.2">
      <c r="B223" t="s">
        <v>780</v>
      </c>
      <c r="C223" t="s">
        <v>781</v>
      </c>
      <c r="N223" t="s">
        <v>89</v>
      </c>
      <c r="O223">
        <v>98.91748534440147</v>
      </c>
      <c r="P223">
        <v>15.428679419112649</v>
      </c>
      <c r="Q223">
        <v>72.070132370814292</v>
      </c>
      <c r="R223" t="s">
        <v>1013</v>
      </c>
      <c r="S223">
        <v>3.9515362759724587E-3</v>
      </c>
      <c r="T223">
        <v>2.6737106235069914E-3</v>
      </c>
      <c r="U223">
        <v>8.2028478084478045E-4</v>
      </c>
      <c r="V223">
        <v>2.7666588428985504E-3</v>
      </c>
      <c r="W223">
        <v>1.0841607158477018E-2</v>
      </c>
      <c r="X223">
        <v>0</v>
      </c>
      <c r="Y223">
        <v>-3.6647223950945064E-4</v>
      </c>
      <c r="Z223">
        <v>0</v>
      </c>
      <c r="AA223">
        <v>3.2269561647357115E-4</v>
      </c>
      <c r="AB223">
        <v>-0.56462682371468087</v>
      </c>
      <c r="AC223">
        <v>142.21628287603747</v>
      </c>
      <c r="AD223">
        <v>989.17485344401473</v>
      </c>
      <c r="AE223">
        <v>2.0879287742247379E-3</v>
      </c>
      <c r="AF223">
        <v>98.98816775972611</v>
      </c>
      <c r="AG223">
        <v>-7.0682415324642991E-2</v>
      </c>
      <c r="AH223">
        <v>67.686270151824985</v>
      </c>
      <c r="AI223">
        <v>31.789729848175014</v>
      </c>
      <c r="AJ223">
        <v>46.966289879570041</v>
      </c>
      <c r="AK223">
        <v>0.12600702736418909</v>
      </c>
      <c r="AL223">
        <v>-0.12613378248499885</v>
      </c>
      <c r="AM223">
        <v>-0.1462631287234899</v>
      </c>
      <c r="AN223">
        <v>-8.6385163391303824E-3</v>
      </c>
      <c r="AO223">
        <v>0.12679820507961603</v>
      </c>
      <c r="AP223">
        <v>4.2140820000000003</v>
      </c>
      <c r="AQ223" t="s">
        <v>330</v>
      </c>
      <c r="AR223">
        <v>4.2140820000000003</v>
      </c>
      <c r="AS223">
        <v>4.2140820000000003</v>
      </c>
      <c r="AT223">
        <v>0</v>
      </c>
      <c r="AU223">
        <v>0</v>
      </c>
      <c r="AV223">
        <v>0</v>
      </c>
      <c r="AW223">
        <v>0</v>
      </c>
    </row>
    <row r="224" spans="2:49" ht="15" customHeight="1" x14ac:dyDescent="0.2">
      <c r="B224" t="s">
        <v>782</v>
      </c>
      <c r="C224" t="s">
        <v>783</v>
      </c>
      <c r="N224" t="s">
        <v>89</v>
      </c>
      <c r="O224">
        <v>94.671725875606825</v>
      </c>
      <c r="P224">
        <v>277.43923628797523</v>
      </c>
      <c r="Q224">
        <v>70.709271415939284</v>
      </c>
      <c r="R224" t="s">
        <v>1013</v>
      </c>
      <c r="S224">
        <v>0.15844624617472242</v>
      </c>
      <c r="T224">
        <v>6.739144167029236E-2</v>
      </c>
      <c r="U224">
        <v>3.858651987548159E-3</v>
      </c>
      <c r="V224">
        <v>0.1051268313731157</v>
      </c>
      <c r="W224">
        <v>1.0616193910266247E-2</v>
      </c>
      <c r="X224">
        <v>0.14894879045738424</v>
      </c>
      <c r="Y224">
        <v>-6.8552024585216587E-2</v>
      </c>
      <c r="Z224">
        <v>0</v>
      </c>
      <c r="AA224">
        <v>5.2794762930020674E-2</v>
      </c>
      <c r="AB224">
        <v>-1.5899933274386597</v>
      </c>
      <c r="AC224">
        <v>147.66081598625917</v>
      </c>
      <c r="AD224">
        <v>946.71725875606819</v>
      </c>
      <c r="AE224">
        <v>0.62127774412503134</v>
      </c>
      <c r="AF224">
        <v>93.616999632853904</v>
      </c>
      <c r="AG224">
        <v>1.0547262427529176</v>
      </c>
      <c r="AH224">
        <v>42.51305640050888</v>
      </c>
      <c r="AI224">
        <v>53.663943599491127</v>
      </c>
      <c r="AJ224">
        <v>126.22932374923006</v>
      </c>
      <c r="AK224">
        <v>1.1257727484250528</v>
      </c>
      <c r="AL224">
        <v>-1.0035230508166819</v>
      </c>
      <c r="AM224">
        <v>-1.2426083582265619</v>
      </c>
      <c r="AN224">
        <v>-7.8600938618772886E-3</v>
      </c>
      <c r="AO224">
        <v>1.043412719066598</v>
      </c>
      <c r="AP224">
        <v>5.1746730000000003</v>
      </c>
      <c r="AQ224" t="s">
        <v>330</v>
      </c>
      <c r="AR224" t="s">
        <v>330</v>
      </c>
      <c r="AS224">
        <v>5.1746730000000003</v>
      </c>
      <c r="AT224">
        <v>1.8195618495066388</v>
      </c>
      <c r="AU224">
        <v>37.781852120395364</v>
      </c>
      <c r="AV224">
        <v>33.452415580258389</v>
      </c>
      <c r="AW224">
        <v>0.58333333333333337</v>
      </c>
    </row>
    <row r="225" spans="2:49" ht="15" customHeight="1" x14ac:dyDescent="0.2">
      <c r="B225" t="s">
        <v>784</v>
      </c>
      <c r="C225" t="s">
        <v>785</v>
      </c>
      <c r="N225" t="s">
        <v>89</v>
      </c>
      <c r="O225">
        <v>117.30500156361481</v>
      </c>
      <c r="P225">
        <v>276.41602877391347</v>
      </c>
      <c r="Q225">
        <v>22.005477627093363</v>
      </c>
      <c r="R225" t="s">
        <v>1013</v>
      </c>
      <c r="S225">
        <v>0.75328078637316731</v>
      </c>
      <c r="T225">
        <v>0.76374301953709633</v>
      </c>
      <c r="U225">
        <v>7.130981925445568E-3</v>
      </c>
      <c r="V225">
        <v>0.57718881709083214</v>
      </c>
      <c r="W225">
        <v>-3.1070356451906264E-3</v>
      </c>
      <c r="X225">
        <v>0.42499677505823352</v>
      </c>
      <c r="Y225">
        <v>-1.4137633282478828</v>
      </c>
      <c r="Z225">
        <v>0</v>
      </c>
      <c r="AA225">
        <v>0.10278862089132711</v>
      </c>
      <c r="AB225">
        <v>4.4533493832160396</v>
      </c>
      <c r="AC225">
        <v>128.57566585338361</v>
      </c>
      <c r="AD225">
        <v>1173050.0156361482</v>
      </c>
      <c r="AE225">
        <v>1.3949644192458379</v>
      </c>
      <c r="AF225">
        <v>91.000530937037666</v>
      </c>
      <c r="AG225">
        <v>26.304470626577153</v>
      </c>
      <c r="AH225">
        <v>101.38888889152499</v>
      </c>
      <c r="AI225">
        <v>10.692111108475018</v>
      </c>
      <c r="AJ225">
        <v>10.545643832742272</v>
      </c>
      <c r="AK225">
        <v>2.7669823087034318</v>
      </c>
      <c r="AL225">
        <v>-1.2712061581354355</v>
      </c>
      <c r="AM225">
        <v>-2.367416576840915</v>
      </c>
      <c r="AN225">
        <v>0.13980603207231559</v>
      </c>
      <c r="AO225">
        <v>1.1341852393674534</v>
      </c>
      <c r="AP225">
        <v>-2.4228890000000001</v>
      </c>
      <c r="AQ225" t="s">
        <v>330</v>
      </c>
      <c r="AR225">
        <v>-4.2125349999999999</v>
      </c>
      <c r="AS225">
        <v>-2.4228890000000001</v>
      </c>
      <c r="AT225">
        <v>0</v>
      </c>
      <c r="AU225">
        <v>0</v>
      </c>
      <c r="AV225">
        <v>0</v>
      </c>
      <c r="AW225">
        <v>0</v>
      </c>
    </row>
    <row r="226" spans="2:49" ht="15" customHeight="1" x14ac:dyDescent="0.2">
      <c r="B226" t="s">
        <v>786</v>
      </c>
      <c r="C226" t="s">
        <v>787</v>
      </c>
      <c r="N226" t="s">
        <v>89</v>
      </c>
      <c r="O226">
        <v>144.12392801467689</v>
      </c>
      <c r="P226">
        <v>139.46379415515668</v>
      </c>
      <c r="Q226">
        <v>28.225761468342782</v>
      </c>
      <c r="R226" t="s">
        <v>1013</v>
      </c>
      <c r="S226">
        <v>0.86921890342619323</v>
      </c>
      <c r="T226">
        <v>1.1804556118759606</v>
      </c>
      <c r="U226">
        <v>4.4637388506020637E-3</v>
      </c>
      <c r="V226">
        <v>0.50698522915905053</v>
      </c>
      <c r="W226">
        <v>3.2856543295201844E-3</v>
      </c>
      <c r="X226">
        <v>5.7050582298966902E-2</v>
      </c>
      <c r="Y226">
        <v>-1.5882010725487941</v>
      </c>
      <c r="Z226">
        <v>-0.79740981365161023</v>
      </c>
      <c r="AA226">
        <v>3.7574329678715636E-2</v>
      </c>
      <c r="AB226">
        <v>1.05737335615893</v>
      </c>
      <c r="AC226">
        <v>139.49034931869321</v>
      </c>
      <c r="AD226">
        <v>144123.9280146769</v>
      </c>
      <c r="AE226">
        <v>16.761608904383284</v>
      </c>
      <c r="AF226">
        <v>94.580703173129379</v>
      </c>
      <c r="AG226">
        <v>49.54322484154752</v>
      </c>
      <c r="AH226">
        <v>135.80648179911501</v>
      </c>
      <c r="AI226">
        <v>6.794391649955287</v>
      </c>
      <c r="AJ226">
        <v>5.003027292100084</v>
      </c>
      <c r="AK226">
        <v>2.342989007402994</v>
      </c>
      <c r="AL226">
        <v>-0.75512238707029611</v>
      </c>
      <c r="AM226">
        <v>-2.2877487833640773</v>
      </c>
      <c r="AN226">
        <v>0.62157215124792342</v>
      </c>
      <c r="AO226">
        <v>0.52953884086276026</v>
      </c>
      <c r="AP226">
        <v>-8.4903849999999998</v>
      </c>
      <c r="AQ226" t="s">
        <v>330</v>
      </c>
      <c r="AR226">
        <v>-18.438165999999999</v>
      </c>
      <c r="AS226">
        <v>-8.4903849999999998</v>
      </c>
      <c r="AT226">
        <v>0.6136044880785414</v>
      </c>
      <c r="AU226">
        <v>0</v>
      </c>
      <c r="AV226">
        <v>0</v>
      </c>
      <c r="AW226">
        <v>0.20173611111111112</v>
      </c>
    </row>
    <row r="227" spans="2:49" ht="15" customHeight="1" x14ac:dyDescent="0.2">
      <c r="B227" t="s">
        <v>788</v>
      </c>
      <c r="C227" t="s">
        <v>789</v>
      </c>
      <c r="N227" t="s">
        <v>89</v>
      </c>
      <c r="O227">
        <v>111.33338060698001</v>
      </c>
      <c r="P227">
        <v>126.61969427117201</v>
      </c>
      <c r="Q227">
        <v>16.047384675099909</v>
      </c>
      <c r="R227" t="s">
        <v>1013</v>
      </c>
      <c r="S227">
        <v>0.60535878206213867</v>
      </c>
      <c r="T227">
        <v>0.61299304008151567</v>
      </c>
      <c r="U227">
        <v>1.8885830430911684E-2</v>
      </c>
      <c r="V227">
        <v>0.49590876147444762</v>
      </c>
      <c r="W227">
        <v>-1.7127499374737453E-3</v>
      </c>
      <c r="X227">
        <v>0.3307650075270604</v>
      </c>
      <c r="Y227">
        <v>-0.73535754930426156</v>
      </c>
      <c r="Z227">
        <v>0</v>
      </c>
      <c r="AA227">
        <v>2.8753061978889834E-2</v>
      </c>
      <c r="AB227">
        <v>1.4177065300405178</v>
      </c>
      <c r="AC227">
        <v>0</v>
      </c>
      <c r="AD227">
        <v>1113.3338060698002</v>
      </c>
      <c r="AE227">
        <v>0.66013356319660532</v>
      </c>
      <c r="AF227">
        <v>101.55241035952091</v>
      </c>
      <c r="AG227">
        <v>9.7809702474591163</v>
      </c>
      <c r="AH227">
        <v>101.37491139221191</v>
      </c>
      <c r="AI227">
        <v>8.3800886077880818</v>
      </c>
      <c r="AJ227">
        <v>8.2664324858111584</v>
      </c>
      <c r="AK227">
        <v>1.5760853519755389</v>
      </c>
      <c r="AL227">
        <v>-0.84424222532425119</v>
      </c>
      <c r="AM227">
        <v>-1.8593036214920176</v>
      </c>
      <c r="AN227">
        <v>6.3085819163842885E-2</v>
      </c>
      <c r="AO227">
        <v>0.76920616402373576</v>
      </c>
      <c r="AP227">
        <v>-1.045757</v>
      </c>
      <c r="AQ227" t="s">
        <v>330</v>
      </c>
      <c r="AR227" t="s">
        <v>330</v>
      </c>
      <c r="AS227">
        <v>-1.045757</v>
      </c>
      <c r="AT227">
        <v>4.3278210559883377</v>
      </c>
      <c r="AU227">
        <v>32.318630095617117</v>
      </c>
      <c r="AV227">
        <v>14.374475159788954</v>
      </c>
      <c r="AW227">
        <v>1.583333333333333</v>
      </c>
    </row>
    <row r="228" spans="2:49" ht="15" customHeight="1" x14ac:dyDescent="0.2">
      <c r="B228" t="s">
        <v>790</v>
      </c>
      <c r="C228" t="s">
        <v>791</v>
      </c>
      <c r="N228" t="s">
        <v>89</v>
      </c>
      <c r="O228">
        <v>104.57233575036496</v>
      </c>
      <c r="P228" t="s">
        <v>330</v>
      </c>
      <c r="Q228">
        <v>29.776850136588411</v>
      </c>
      <c r="R228" t="s">
        <v>1013</v>
      </c>
      <c r="S228" t="s">
        <v>330</v>
      </c>
      <c r="T228" t="s">
        <v>330</v>
      </c>
      <c r="U228" t="s">
        <v>330</v>
      </c>
      <c r="V228" t="s">
        <v>330</v>
      </c>
      <c r="W228" t="s">
        <v>330</v>
      </c>
      <c r="X228" t="s">
        <v>330</v>
      </c>
      <c r="Y228" t="s">
        <v>330</v>
      </c>
      <c r="Z228" t="s">
        <v>330</v>
      </c>
      <c r="AA228" t="s">
        <v>330</v>
      </c>
      <c r="AB228">
        <v>-8.1978318530626488</v>
      </c>
      <c r="AC228">
        <v>131.47251053835214</v>
      </c>
      <c r="AD228">
        <v>1045.7233575036496</v>
      </c>
      <c r="AE228">
        <v>0.93793384817617653</v>
      </c>
      <c r="AF228">
        <v>95.947538553996949</v>
      </c>
      <c r="AG228">
        <v>8.6247971963680019</v>
      </c>
      <c r="AH228">
        <v>99.469340062866237</v>
      </c>
      <c r="AI228">
        <v>13.675659937133759</v>
      </c>
      <c r="AJ228">
        <v>13.748618346608632</v>
      </c>
      <c r="AK228">
        <v>1.7889878663515049</v>
      </c>
      <c r="AL228">
        <v>-6.1112235420182515E-2</v>
      </c>
      <c r="AM228">
        <v>0.46227764524269332</v>
      </c>
      <c r="AN228">
        <v>-1.1350177785495668E-2</v>
      </c>
      <c r="AO228">
        <v>5.8440155306533098E-2</v>
      </c>
      <c r="AP228">
        <v>-4.3212070000000002</v>
      </c>
      <c r="AQ228" t="s">
        <v>330</v>
      </c>
      <c r="AR228" t="s">
        <v>330</v>
      </c>
      <c r="AS228">
        <v>-4.3212070000000002</v>
      </c>
      <c r="AT228">
        <v>2.2095541119802022</v>
      </c>
      <c r="AU228">
        <v>5.47026397485351</v>
      </c>
      <c r="AV228">
        <v>5.47026397485351</v>
      </c>
      <c r="AW228">
        <v>0.41666666666666669</v>
      </c>
    </row>
    <row r="229" spans="2:49" ht="15" customHeight="1" x14ac:dyDescent="0.2">
      <c r="B229" t="s">
        <v>792</v>
      </c>
      <c r="C229" t="s">
        <v>793</v>
      </c>
      <c r="N229" t="s">
        <v>89</v>
      </c>
      <c r="O229">
        <v>118.79207596835514</v>
      </c>
      <c r="P229">
        <v>157.5640065349744</v>
      </c>
      <c r="Q229">
        <v>16.021543347924954</v>
      </c>
      <c r="R229" t="s">
        <v>1013</v>
      </c>
      <c r="S229">
        <v>0.80287930214118686</v>
      </c>
      <c r="T229">
        <v>0.89512600126292163</v>
      </c>
      <c r="U229">
        <v>1.1062210451267415E-2</v>
      </c>
      <c r="V229">
        <v>0.52466761418148733</v>
      </c>
      <c r="W229">
        <v>3.5299950449370955E-3</v>
      </c>
      <c r="X229">
        <v>1.5954797724682517</v>
      </c>
      <c r="Y229">
        <v>-1.0281935362787471</v>
      </c>
      <c r="Z229">
        <v>0</v>
      </c>
      <c r="AA229">
        <v>4.1900999379917495E-2</v>
      </c>
      <c r="AB229">
        <v>2.2552648790049021</v>
      </c>
      <c r="AC229">
        <v>136.45865142274906</v>
      </c>
      <c r="AD229">
        <v>1187.9207596835513</v>
      </c>
      <c r="AE229">
        <v>2.3559019069137377</v>
      </c>
      <c r="AF229">
        <v>98.115230421786435</v>
      </c>
      <c r="AG229">
        <v>20.6768455465687</v>
      </c>
      <c r="AH229">
        <v>111.48948526580813</v>
      </c>
      <c r="AI229">
        <v>4.6235147341918719</v>
      </c>
      <c r="AJ229">
        <v>4.1470410623644902</v>
      </c>
      <c r="AK229">
        <v>1.824746857502394</v>
      </c>
      <c r="AL229">
        <v>-0.79825527213859004</v>
      </c>
      <c r="AM229">
        <v>-2.2979223207976247</v>
      </c>
      <c r="AN229">
        <v>0.14053993307472196</v>
      </c>
      <c r="AO229">
        <v>0.68748139496747995</v>
      </c>
      <c r="AP229">
        <v>-3.4660869999999999</v>
      </c>
      <c r="AQ229" t="s">
        <v>330</v>
      </c>
      <c r="AR229" t="s">
        <v>330</v>
      </c>
      <c r="AS229">
        <v>-3.4660869999999999</v>
      </c>
      <c r="AT229">
        <v>2.4760362750079663</v>
      </c>
      <c r="AU229">
        <v>0</v>
      </c>
      <c r="AV229">
        <v>0</v>
      </c>
      <c r="AW229">
        <v>0.23958333333333331</v>
      </c>
    </row>
    <row r="230" spans="2:49" ht="15" customHeight="1" x14ac:dyDescent="0.2">
      <c r="B230" t="s">
        <v>794</v>
      </c>
      <c r="C230" t="s">
        <v>795</v>
      </c>
      <c r="N230" t="s">
        <v>89</v>
      </c>
      <c r="O230">
        <v>100.12337068972137</v>
      </c>
      <c r="P230">
        <v>218.12462330417691</v>
      </c>
      <c r="Q230">
        <v>46.931107419044018</v>
      </c>
      <c r="R230" t="s">
        <v>1013</v>
      </c>
      <c r="S230">
        <v>0.29870562190737637</v>
      </c>
      <c r="T230">
        <v>0.23928404581958726</v>
      </c>
      <c r="U230">
        <v>1.2234996221966957E-2</v>
      </c>
      <c r="V230">
        <v>0.19129973204460954</v>
      </c>
      <c r="W230">
        <v>-9.0984549341897036E-3</v>
      </c>
      <c r="X230">
        <v>0</v>
      </c>
      <c r="Y230">
        <v>-0.10781052938996384</v>
      </c>
      <c r="Z230">
        <v>0</v>
      </c>
      <c r="AA230">
        <v>1.7290786528329549E-2</v>
      </c>
      <c r="AB230">
        <v>-1.0043901871772212</v>
      </c>
      <c r="AC230">
        <v>142.72166666878076</v>
      </c>
      <c r="AD230">
        <v>1001.2337068972137</v>
      </c>
      <c r="AE230">
        <v>0.52131777237228005</v>
      </c>
      <c r="AF230">
        <v>96.703767494056152</v>
      </c>
      <c r="AG230">
        <v>3.4196031956652067</v>
      </c>
      <c r="AH230">
        <v>80.106977663040155</v>
      </c>
      <c r="AI230">
        <v>21.02202233695985</v>
      </c>
      <c r="AJ230">
        <v>26.242435990265818</v>
      </c>
      <c r="AK230">
        <v>0.49022315082117118</v>
      </c>
      <c r="AL230">
        <v>-0.38084371455676092</v>
      </c>
      <c r="AM230">
        <v>-0.56802768999045838</v>
      </c>
      <c r="AN230">
        <v>-0.22715305715520842</v>
      </c>
      <c r="AO230">
        <v>0.37659199097861235</v>
      </c>
      <c r="AP230">
        <v>-1.2563949999999999</v>
      </c>
      <c r="AQ230" t="s">
        <v>330</v>
      </c>
      <c r="AR230" t="s">
        <v>330</v>
      </c>
      <c r="AS230">
        <v>-1.2563949999999999</v>
      </c>
      <c r="AT230">
        <v>0.98883604109602574</v>
      </c>
      <c r="AU230">
        <v>21.022022336959843</v>
      </c>
      <c r="AV230">
        <v>21.022022336959843</v>
      </c>
      <c r="AW230">
        <v>0</v>
      </c>
    </row>
    <row r="231" spans="2:49" ht="15" customHeight="1" x14ac:dyDescent="0.2">
      <c r="B231" t="s">
        <v>796</v>
      </c>
      <c r="C231" t="s">
        <v>797</v>
      </c>
      <c r="N231" t="s">
        <v>89</v>
      </c>
      <c r="O231">
        <v>99.826188402771805</v>
      </c>
      <c r="P231">
        <v>277.45574462005402</v>
      </c>
      <c r="Q231">
        <v>50.592213173737477</v>
      </c>
      <c r="R231" t="s">
        <v>1013</v>
      </c>
      <c r="S231">
        <v>0.5304271875052784</v>
      </c>
      <c r="T231">
        <v>0.35940950718526754</v>
      </c>
      <c r="U231">
        <v>4.9455344721269093E-3</v>
      </c>
      <c r="V231">
        <v>0.43757938138300007</v>
      </c>
      <c r="W231">
        <v>5.7795717985300145E-3</v>
      </c>
      <c r="X231">
        <v>-0.49605077500922967</v>
      </c>
      <c r="Y231">
        <v>-0.81684332838863438</v>
      </c>
      <c r="Z231">
        <v>0</v>
      </c>
      <c r="AA231">
        <v>0.14330587668713329</v>
      </c>
      <c r="AB231">
        <v>-4.2842581347215276</v>
      </c>
      <c r="AC231">
        <v>142.41386083633984</v>
      </c>
      <c r="AD231">
        <v>998.261884027718</v>
      </c>
      <c r="AE231">
        <v>0.78302846361509393</v>
      </c>
      <c r="AF231">
        <v>85.771203267979374</v>
      </c>
      <c r="AG231">
        <v>14.054985134792435</v>
      </c>
      <c r="AH231">
        <v>67.758500252532968</v>
      </c>
      <c r="AI231">
        <v>36.344499747467026</v>
      </c>
      <c r="AJ231">
        <v>53.638288350557737</v>
      </c>
      <c r="AK231">
        <v>3.431121083532962</v>
      </c>
      <c r="AL231">
        <v>-2.473275653575115</v>
      </c>
      <c r="AM231">
        <v>-3.6269581691281019</v>
      </c>
      <c r="AN231">
        <v>-0.53485920014189581</v>
      </c>
      <c r="AO231">
        <v>2.375796714383942</v>
      </c>
      <c r="AP231">
        <v>2.5035280000000002</v>
      </c>
      <c r="AQ231" t="s">
        <v>330</v>
      </c>
      <c r="AR231" t="s">
        <v>330</v>
      </c>
      <c r="AS231">
        <v>2.5035280000000002</v>
      </c>
      <c r="AT231">
        <v>3.3620548879475134</v>
      </c>
      <c r="AU231">
        <v>10.384142784990582</v>
      </c>
      <c r="AV231">
        <v>10.384142784990582</v>
      </c>
      <c r="AW231">
        <v>0.42777777777777781</v>
      </c>
    </row>
    <row r="232" spans="2:49" ht="15" customHeight="1" x14ac:dyDescent="0.2">
      <c r="B232" t="s">
        <v>315</v>
      </c>
      <c r="C232" t="s">
        <v>354</v>
      </c>
      <c r="N232" t="s">
        <v>89</v>
      </c>
      <c r="O232">
        <v>108.33270039214415</v>
      </c>
      <c r="P232">
        <v>134.48343282484137</v>
      </c>
      <c r="Q232">
        <v>52.316811455673893</v>
      </c>
      <c r="R232" t="s">
        <v>1013</v>
      </c>
      <c r="S232">
        <v>0.608988024686966</v>
      </c>
      <c r="T232">
        <v>0.55683719617086336</v>
      </c>
      <c r="U232">
        <v>5.9308745172498576E-3</v>
      </c>
      <c r="V232">
        <v>0.50293830090120084</v>
      </c>
      <c r="W232">
        <v>-9.280598335180912E-4</v>
      </c>
      <c r="X232">
        <v>0</v>
      </c>
      <c r="Y232">
        <v>-0.8946125978615842</v>
      </c>
      <c r="Z232">
        <v>0</v>
      </c>
      <c r="AA232">
        <v>4.8614635780675534E-2</v>
      </c>
      <c r="AB232">
        <v>-7.082164092728747</v>
      </c>
      <c r="AC232">
        <v>141.39782619012345</v>
      </c>
      <c r="AD232">
        <v>1083.3270039214415</v>
      </c>
      <c r="AE232">
        <v>0.64708470490659531</v>
      </c>
      <c r="AF232">
        <v>86.134531001419049</v>
      </c>
      <c r="AG232">
        <v>22.198169390725102</v>
      </c>
      <c r="AH232">
        <v>91.436477171630855</v>
      </c>
      <c r="AI232">
        <v>24.56852282836914</v>
      </c>
      <c r="AJ232">
        <v>26.869498463127346</v>
      </c>
      <c r="AK232">
        <v>2.6383340149831458</v>
      </c>
      <c r="AL232">
        <v>-1.7506679449003286</v>
      </c>
      <c r="AM232">
        <v>-3.0006416769467705</v>
      </c>
      <c r="AN232">
        <v>0.10358222719631106</v>
      </c>
      <c r="AO232">
        <v>1.5091314554547897</v>
      </c>
      <c r="AP232">
        <v>-1.940272</v>
      </c>
      <c r="AQ232" t="s">
        <v>330</v>
      </c>
      <c r="AR232" t="s">
        <v>330</v>
      </c>
      <c r="AS232">
        <v>-1.940272</v>
      </c>
      <c r="AT232">
        <v>2.2628334985560969</v>
      </c>
      <c r="AU232">
        <v>9.3594372679501472</v>
      </c>
      <c r="AV232">
        <v>9.3594372679501472</v>
      </c>
      <c r="AW232">
        <v>0.3208333333333333</v>
      </c>
    </row>
    <row r="233" spans="2:49" ht="15" customHeight="1" x14ac:dyDescent="0.2">
      <c r="B233" t="s">
        <v>798</v>
      </c>
      <c r="C233" t="s">
        <v>799</v>
      </c>
      <c r="N233" t="s">
        <v>89</v>
      </c>
      <c r="O233">
        <v>197.68174511060053</v>
      </c>
      <c r="P233">
        <v>390.77575578875417</v>
      </c>
      <c r="Q233">
        <v>73.030274252274381</v>
      </c>
      <c r="R233" t="s">
        <v>1013</v>
      </c>
      <c r="S233">
        <v>0.87503458901048703</v>
      </c>
      <c r="T233">
        <v>1.458391015225402</v>
      </c>
      <c r="U233">
        <v>1.7977363524871923E-3</v>
      </c>
      <c r="V233">
        <v>0.4739634069320573</v>
      </c>
      <c r="W233">
        <v>1.3079238654199798E-2</v>
      </c>
      <c r="X233">
        <v>0</v>
      </c>
      <c r="Y233">
        <v>-1.3671837020534667</v>
      </c>
      <c r="Z233">
        <v>0</v>
      </c>
      <c r="AA233">
        <v>6.6801604480197757E-2</v>
      </c>
      <c r="AB233">
        <v>-0.12052447699008706</v>
      </c>
      <c r="AC233">
        <v>152.0779508663887</v>
      </c>
      <c r="AD233">
        <v>1976.8174511060051</v>
      </c>
      <c r="AE233">
        <v>19.113917557161162</v>
      </c>
      <c r="AF233">
        <v>93.475339802198647</v>
      </c>
      <c r="AG233">
        <v>104.20640530840186</v>
      </c>
      <c r="AH233">
        <v>166.66667049980163</v>
      </c>
      <c r="AI233">
        <v>31.253329500198362</v>
      </c>
      <c r="AJ233">
        <v>18.7519972688454</v>
      </c>
      <c r="AK233">
        <v>2.2850066485163651</v>
      </c>
      <c r="AL233">
        <v>-1.3677572676482441</v>
      </c>
      <c r="AM233">
        <v>-2.5831836667150583</v>
      </c>
      <c r="AN233">
        <v>0.13170047038886462</v>
      </c>
      <c r="AO233">
        <v>0.69106571728387445</v>
      </c>
      <c r="AP233">
        <v>-12.094350732170675</v>
      </c>
      <c r="AQ233" t="s">
        <v>330</v>
      </c>
      <c r="AR233" t="s">
        <v>330</v>
      </c>
      <c r="AS233">
        <v>-12.094351</v>
      </c>
      <c r="AT233">
        <v>2.7789005658852064</v>
      </c>
      <c r="AU233">
        <v>5.6824235454906065</v>
      </c>
      <c r="AV233">
        <v>5.6824235454906065</v>
      </c>
      <c r="AW233">
        <v>2.0472222222222221</v>
      </c>
    </row>
    <row r="234" spans="2:49" ht="15" customHeight="1" x14ac:dyDescent="0.2">
      <c r="B234" t="s">
        <v>392</v>
      </c>
      <c r="C234" t="s">
        <v>393</v>
      </c>
      <c r="N234" t="s">
        <v>89</v>
      </c>
      <c r="O234">
        <v>98.560498910256925</v>
      </c>
      <c r="P234">
        <v>80.339763673019689</v>
      </c>
      <c r="Q234">
        <v>53.011551594996945</v>
      </c>
      <c r="R234" t="s">
        <v>1013</v>
      </c>
      <c r="S234">
        <v>4.5722801723523995E-3</v>
      </c>
      <c r="T234">
        <v>2.7004565259450336E-3</v>
      </c>
      <c r="U234">
        <v>9.0670755383308874E-4</v>
      </c>
      <c r="V234">
        <v>5.3777215420341236E-3</v>
      </c>
      <c r="W234">
        <v>1.3404232329761725E-2</v>
      </c>
      <c r="X234">
        <v>1.9460463528814573E-4</v>
      </c>
      <c r="Y234">
        <v>-1.0613372940460497E-2</v>
      </c>
      <c r="Z234">
        <v>0</v>
      </c>
      <c r="AA234">
        <v>2.4099866877791906E-3</v>
      </c>
      <c r="AB234">
        <v>-0.63869511285272362</v>
      </c>
      <c r="AC234">
        <v>138.97795676452128</v>
      </c>
      <c r="AD234">
        <v>197120.99782051385</v>
      </c>
      <c r="AE234">
        <v>5.6662561997550213E-3</v>
      </c>
      <c r="AF234">
        <v>98.666630068357833</v>
      </c>
      <c r="AG234">
        <v>-0.10613115810090676</v>
      </c>
      <c r="AH234">
        <v>59.049046930441222</v>
      </c>
      <c r="AI234">
        <v>40.140953069558776</v>
      </c>
      <c r="AJ234">
        <v>67.979002466956231</v>
      </c>
      <c r="AK234">
        <v>2.1131768223538723</v>
      </c>
      <c r="AL234">
        <v>-0.17417683585561464</v>
      </c>
      <c r="AM234">
        <v>-0.27785125487876938</v>
      </c>
      <c r="AN234">
        <v>-1.4520780869901351</v>
      </c>
      <c r="AO234">
        <v>0.17559918928885435</v>
      </c>
      <c r="AP234">
        <v>0.37607400000000002</v>
      </c>
      <c r="AQ234" t="s">
        <v>330</v>
      </c>
      <c r="AR234">
        <v>4.8996870000000001</v>
      </c>
      <c r="AS234">
        <v>4.8996870000000001</v>
      </c>
      <c r="AT234">
        <v>0</v>
      </c>
      <c r="AU234">
        <v>0</v>
      </c>
      <c r="AV234">
        <v>0</v>
      </c>
      <c r="AW234">
        <v>0</v>
      </c>
    </row>
    <row r="235" spans="2:49" ht="15" customHeight="1" x14ac:dyDescent="0.2">
      <c r="B235" t="s">
        <v>800</v>
      </c>
      <c r="C235" t="s">
        <v>801</v>
      </c>
      <c r="N235" t="s">
        <v>89</v>
      </c>
      <c r="O235">
        <v>95.579075080708918</v>
      </c>
      <c r="P235">
        <v>138.97605442475989</v>
      </c>
      <c r="Q235">
        <v>44.314483787346234</v>
      </c>
      <c r="R235" t="s">
        <v>1013</v>
      </c>
      <c r="S235">
        <v>0.54839895753875656</v>
      </c>
      <c r="T235">
        <v>0.4088301315603432</v>
      </c>
      <c r="U235">
        <v>7.2229034439068333E-3</v>
      </c>
      <c r="V235">
        <v>0.6543801216702122</v>
      </c>
      <c r="W235">
        <v>4.3564589965390038E-3</v>
      </c>
      <c r="X235">
        <v>0.17031985939268182</v>
      </c>
      <c r="Y235">
        <v>-1.6310499424718981</v>
      </c>
      <c r="Z235">
        <v>0</v>
      </c>
      <c r="AA235">
        <v>8.9020466264649975E-2</v>
      </c>
      <c r="AB235">
        <v>-9.9926944378004094</v>
      </c>
      <c r="AC235">
        <v>159.71839632950753</v>
      </c>
      <c r="AD235">
        <v>191158.15016141784</v>
      </c>
      <c r="AE235">
        <v>0.86105939547037369</v>
      </c>
      <c r="AF235">
        <v>83.811154394694142</v>
      </c>
      <c r="AG235">
        <v>11.767920686014783</v>
      </c>
      <c r="AH235">
        <v>74.549764535511585</v>
      </c>
      <c r="AI235">
        <v>30.58023546448841</v>
      </c>
      <c r="AJ235">
        <v>41.019895441683914</v>
      </c>
      <c r="AK235">
        <v>5.240352194283405</v>
      </c>
      <c r="AL235">
        <v>-2.653781163419044</v>
      </c>
      <c r="AM235">
        <v>-4.4885652585902429</v>
      </c>
      <c r="AN235">
        <v>0.48520067665481198</v>
      </c>
      <c r="AO235">
        <v>2.524285326185717</v>
      </c>
      <c r="AP235">
        <v>1.585221</v>
      </c>
      <c r="AQ235" t="s">
        <v>330</v>
      </c>
      <c r="AR235">
        <v>1.1500251934469925</v>
      </c>
      <c r="AS235">
        <v>1.5852205939930391</v>
      </c>
      <c r="AT235">
        <v>2.3780081803481408</v>
      </c>
      <c r="AU235">
        <v>16.608069369924767</v>
      </c>
      <c r="AV235">
        <v>15.046793463857398</v>
      </c>
      <c r="AW235">
        <v>0.24305555555555555</v>
      </c>
    </row>
    <row r="236" spans="2:49" ht="15" customHeight="1" x14ac:dyDescent="0.2">
      <c r="B236" t="s">
        <v>802</v>
      </c>
      <c r="C236" t="s">
        <v>803</v>
      </c>
      <c r="N236" t="s">
        <v>89</v>
      </c>
      <c r="O236">
        <v>101.18321649065132</v>
      </c>
      <c r="P236">
        <v>2.9502033442930089</v>
      </c>
      <c r="Q236">
        <v>48.042300605480918</v>
      </c>
      <c r="R236" t="s">
        <v>1013</v>
      </c>
      <c r="S236">
        <v>0.56431311308433219</v>
      </c>
      <c r="T236">
        <v>0.49715602213431792</v>
      </c>
      <c r="U236">
        <v>6.5010706287517038E-3</v>
      </c>
      <c r="V236">
        <v>0.57426220937857575</v>
      </c>
      <c r="W236">
        <v>-3.641168019385077E-6</v>
      </c>
      <c r="X236">
        <v>1.2685044178819108E-2</v>
      </c>
      <c r="Y236">
        <v>-1.1348521918435166</v>
      </c>
      <c r="Z236">
        <v>-0.44597710403952368</v>
      </c>
      <c r="AA236">
        <v>1.3747987876076985E-3</v>
      </c>
      <c r="AB236">
        <v>-10.349328547305282</v>
      </c>
      <c r="AC236">
        <v>138.62195947184668</v>
      </c>
      <c r="AD236">
        <v>202366.43298130261</v>
      </c>
      <c r="AE236">
        <v>5.325484661357236</v>
      </c>
      <c r="AF236">
        <v>87.028811120689156</v>
      </c>
      <c r="AG236">
        <v>14.154405369962145</v>
      </c>
      <c r="AH236">
        <v>88.09932121141793</v>
      </c>
      <c r="AI236">
        <v>23.33080323866092</v>
      </c>
      <c r="AJ236">
        <v>26.414962257401687</v>
      </c>
      <c r="AK236">
        <v>3.3921299122116872</v>
      </c>
      <c r="AL236">
        <v>-1.9794757245013899</v>
      </c>
      <c r="AM236">
        <v>-3.3066450378797891</v>
      </c>
      <c r="AN236">
        <v>-1.4554375184861585</v>
      </c>
      <c r="AO236">
        <v>1.7728500510513545</v>
      </c>
      <c r="AP236">
        <v>-1.5809466038353823</v>
      </c>
      <c r="AQ236" t="s">
        <v>330</v>
      </c>
      <c r="AR236">
        <v>-3.2196728799222258</v>
      </c>
      <c r="AS236">
        <v>-1.5809470000000001</v>
      </c>
      <c r="AT236">
        <v>0</v>
      </c>
      <c r="AU236">
        <v>0</v>
      </c>
      <c r="AV236">
        <v>0</v>
      </c>
      <c r="AW236">
        <v>0</v>
      </c>
    </row>
    <row r="237" spans="2:49" ht="15" customHeight="1" x14ac:dyDescent="0.2">
      <c r="B237" t="s">
        <v>804</v>
      </c>
      <c r="C237" t="s">
        <v>805</v>
      </c>
      <c r="N237" t="s">
        <v>89</v>
      </c>
      <c r="O237">
        <v>95.723718229297916</v>
      </c>
      <c r="P237" t="s">
        <v>330</v>
      </c>
      <c r="Q237">
        <v>52.945280023431437</v>
      </c>
      <c r="R237" t="s">
        <v>1013</v>
      </c>
      <c r="S237" t="s">
        <v>330</v>
      </c>
      <c r="T237" t="s">
        <v>330</v>
      </c>
      <c r="U237" t="s">
        <v>330</v>
      </c>
      <c r="V237" t="s">
        <v>330</v>
      </c>
      <c r="W237" t="s">
        <v>330</v>
      </c>
      <c r="X237" t="s">
        <v>330</v>
      </c>
      <c r="Y237" t="s">
        <v>330</v>
      </c>
      <c r="Z237" t="s">
        <v>330</v>
      </c>
      <c r="AA237" t="s">
        <v>330</v>
      </c>
      <c r="AB237">
        <v>-3.1823688288047638</v>
      </c>
      <c r="AC237">
        <v>136.97615637726449</v>
      </c>
      <c r="AD237">
        <v>95723.718229297927</v>
      </c>
      <c r="AE237">
        <v>9.9394030953189119E-2</v>
      </c>
      <c r="AF237">
        <v>96.030801587331325</v>
      </c>
      <c r="AG237">
        <v>-0.30708335803342923</v>
      </c>
      <c r="AH237">
        <v>67.609926119386401</v>
      </c>
      <c r="AI237">
        <v>31.160073880613595</v>
      </c>
      <c r="AJ237">
        <v>46.088016463131126</v>
      </c>
      <c r="AK237">
        <v>0.6503095979076845</v>
      </c>
      <c r="AL237">
        <v>-0.61481353113304071</v>
      </c>
      <c r="AM237">
        <v>-0.72897132100290041</v>
      </c>
      <c r="AN237">
        <v>8.2276910124046577E-3</v>
      </c>
      <c r="AO237">
        <v>0.64227919945640632</v>
      </c>
      <c r="AP237">
        <v>1.870538</v>
      </c>
      <c r="AQ237" t="s">
        <v>330</v>
      </c>
      <c r="AR237" t="s">
        <v>330</v>
      </c>
      <c r="AS237">
        <v>1.8705384875949742</v>
      </c>
      <c r="AT237">
        <v>0</v>
      </c>
      <c r="AU237">
        <v>0</v>
      </c>
      <c r="AV237">
        <v>0</v>
      </c>
      <c r="AW237">
        <v>0</v>
      </c>
    </row>
    <row r="238" spans="2:49" ht="15" customHeight="1" x14ac:dyDescent="0.2">
      <c r="B238" t="s">
        <v>806</v>
      </c>
      <c r="C238" t="s">
        <v>807</v>
      </c>
      <c r="N238" t="s">
        <v>89</v>
      </c>
      <c r="O238">
        <v>95.327779534274171</v>
      </c>
      <c r="P238">
        <v>92.791259208454193</v>
      </c>
      <c r="Q238">
        <v>41.255197554231856</v>
      </c>
      <c r="R238" t="s">
        <v>1013</v>
      </c>
      <c r="S238">
        <v>0.38783866408646822</v>
      </c>
      <c r="T238">
        <v>0.30384184705197892</v>
      </c>
      <c r="U238">
        <v>9.6020021669334359E-3</v>
      </c>
      <c r="V238">
        <v>0.58310329659366111</v>
      </c>
      <c r="W238">
        <v>2.1474026264622806E-3</v>
      </c>
      <c r="X238">
        <v>-8.0501227984929646E-2</v>
      </c>
      <c r="Y238">
        <v>-0.85189261222006407</v>
      </c>
      <c r="Z238">
        <v>0</v>
      </c>
      <c r="AA238">
        <v>4.1828884484792821E-2</v>
      </c>
      <c r="AB238">
        <v>-9.1171959613314932</v>
      </c>
      <c r="AC238">
        <v>136.93359878961144</v>
      </c>
      <c r="AD238">
        <v>95327.779534274174</v>
      </c>
      <c r="AE238">
        <v>2.0867791787697572</v>
      </c>
      <c r="AF238">
        <v>91.776541534493049</v>
      </c>
      <c r="AG238">
        <v>3.5512379997811219</v>
      </c>
      <c r="AH238">
        <v>78.342330249012434</v>
      </c>
      <c r="AI238">
        <v>25.676669750987571</v>
      </c>
      <c r="AJ238">
        <v>32.774962998131201</v>
      </c>
      <c r="AK238">
        <v>3.6930740850817951</v>
      </c>
      <c r="AL238">
        <v>-2.3140170243921601</v>
      </c>
      <c r="AM238">
        <v>-3.4187053982244104</v>
      </c>
      <c r="AN238">
        <v>0.30864738043408046</v>
      </c>
      <c r="AO238">
        <v>2.2246099504822774</v>
      </c>
      <c r="AP238">
        <v>0.87051110759554395</v>
      </c>
      <c r="AQ238" t="s">
        <v>330</v>
      </c>
      <c r="AR238">
        <v>-5.4434182828641861E-2</v>
      </c>
      <c r="AS238">
        <v>0.87051110759554395</v>
      </c>
      <c r="AT238">
        <v>1.8025553023966776</v>
      </c>
      <c r="AU238">
        <v>0</v>
      </c>
      <c r="AV238">
        <v>0</v>
      </c>
      <c r="AW238">
        <v>0.77445652173913038</v>
      </c>
    </row>
    <row r="239" spans="2:49" ht="15" customHeight="1" x14ac:dyDescent="0.2">
      <c r="B239" t="s">
        <v>808</v>
      </c>
      <c r="C239" t="s">
        <v>809</v>
      </c>
      <c r="N239" t="s">
        <v>89</v>
      </c>
      <c r="O239">
        <v>94.001855230367312</v>
      </c>
      <c r="P239">
        <v>103.12257295310755</v>
      </c>
      <c r="Q239">
        <v>43.916063076881265</v>
      </c>
      <c r="R239" t="s">
        <v>1013</v>
      </c>
      <c r="S239">
        <v>0.42472410643399117</v>
      </c>
      <c r="T239">
        <v>0.32966826067116062</v>
      </c>
      <c r="U239">
        <v>8.6631890004093826E-3</v>
      </c>
      <c r="V239">
        <v>0.67480555854546398</v>
      </c>
      <c r="W239">
        <v>3.0314655387046513E-3</v>
      </c>
      <c r="X239">
        <v>-5.4229493499096003E-3</v>
      </c>
      <c r="Y239">
        <v>-1.1171654615697342</v>
      </c>
      <c r="Z239">
        <v>0</v>
      </c>
      <c r="AA239">
        <v>5.8821474503113771E-2</v>
      </c>
      <c r="AB239">
        <v>-11.672264066218279</v>
      </c>
      <c r="AC239">
        <v>136.92940303770388</v>
      </c>
      <c r="AD239">
        <v>94001.85523036732</v>
      </c>
      <c r="AE239">
        <v>2.2641059914190409</v>
      </c>
      <c r="AF239">
        <v>88.965303446986908</v>
      </c>
      <c r="AG239">
        <v>5.0365517833803901</v>
      </c>
      <c r="AH239">
        <v>77.61939001745742</v>
      </c>
      <c r="AI239">
        <v>27.354609982542584</v>
      </c>
      <c r="AJ239">
        <v>35.241980098516933</v>
      </c>
      <c r="AK239">
        <v>4.5745619454662592</v>
      </c>
      <c r="AL239">
        <v>-2.8689118207204594</v>
      </c>
      <c r="AM239">
        <v>-4.4498761560443381</v>
      </c>
      <c r="AN239">
        <v>0.11346592017946967</v>
      </c>
      <c r="AO239">
        <v>2.7329737084615799</v>
      </c>
      <c r="AP239">
        <v>1.2430167003265591</v>
      </c>
      <c r="AQ239" t="s">
        <v>330</v>
      </c>
      <c r="AR239">
        <v>0.63430396824041013</v>
      </c>
      <c r="AS239">
        <v>1.2430167003265591</v>
      </c>
      <c r="AT239">
        <v>2.1433878865242817</v>
      </c>
      <c r="AU239">
        <v>0</v>
      </c>
      <c r="AV239">
        <v>0</v>
      </c>
      <c r="AW239">
        <v>0.8559782608695653</v>
      </c>
    </row>
    <row r="240" spans="2:49" ht="15" customHeight="1" x14ac:dyDescent="0.2">
      <c r="B240" t="s">
        <v>810</v>
      </c>
      <c r="C240" t="s">
        <v>811</v>
      </c>
      <c r="N240" t="s">
        <v>89</v>
      </c>
      <c r="O240">
        <v>89.955100862573573</v>
      </c>
      <c r="P240">
        <v>178.71057394569573</v>
      </c>
      <c r="Q240" t="s">
        <v>330</v>
      </c>
      <c r="R240" t="s">
        <v>1013</v>
      </c>
      <c r="S240">
        <v>3.9635133411770135E-2</v>
      </c>
      <c r="T240">
        <v>5.7167986937962743E-3</v>
      </c>
      <c r="U240">
        <v>9.496601555944855E-4</v>
      </c>
      <c r="V240">
        <v>1.4783308369817404E-2</v>
      </c>
      <c r="W240">
        <v>1.4948471046034228E-2</v>
      </c>
      <c r="X240">
        <v>0</v>
      </c>
      <c r="Y240">
        <v>-8.0014297981774174E-3</v>
      </c>
      <c r="Z240">
        <v>0</v>
      </c>
      <c r="AA240">
        <v>4.4287787919996435E-2</v>
      </c>
      <c r="AB240">
        <v>-3.6950646550932156</v>
      </c>
      <c r="AC240">
        <v>152.07934233644428</v>
      </c>
      <c r="AD240">
        <v>899.55100862573568</v>
      </c>
      <c r="AE240">
        <v>3.3612303623756799E-2</v>
      </c>
      <c r="AF240">
        <v>90.534251564133555</v>
      </c>
      <c r="AG240">
        <v>-0.57915070155997905</v>
      </c>
      <c r="AH240">
        <v>14.427800174224281</v>
      </c>
      <c r="AI240">
        <v>78.851199825775723</v>
      </c>
      <c r="AJ240">
        <v>546.52267756415063</v>
      </c>
      <c r="AK240">
        <v>1.4259857730470102</v>
      </c>
      <c r="AL240">
        <v>-1.3158530302227973</v>
      </c>
      <c r="AM240">
        <v>-1.5409417518214923</v>
      </c>
      <c r="AN240">
        <v>3.2321889572743075E-2</v>
      </c>
      <c r="AO240">
        <v>1.4106637402017574</v>
      </c>
      <c r="AP240">
        <v>5.3520625903840555</v>
      </c>
      <c r="AQ240" t="s">
        <v>330</v>
      </c>
      <c r="AR240" t="s">
        <v>330</v>
      </c>
      <c r="AS240">
        <v>5.3520630000000002</v>
      </c>
      <c r="AT240">
        <v>0.53602632961331065</v>
      </c>
      <c r="AU240">
        <v>157.70239965155142</v>
      </c>
      <c r="AV240">
        <v>157.70239965155142</v>
      </c>
      <c r="AW240">
        <v>1.9444444444444445E-2</v>
      </c>
    </row>
    <row r="241" spans="2:49" ht="15" customHeight="1" x14ac:dyDescent="0.2">
      <c r="B241" t="s">
        <v>812</v>
      </c>
      <c r="C241" t="s">
        <v>813</v>
      </c>
      <c r="N241" t="s">
        <v>89</v>
      </c>
      <c r="O241">
        <v>89.456104697197574</v>
      </c>
      <c r="P241">
        <v>91.12981382217076</v>
      </c>
      <c r="Q241">
        <v>65.040308852573858</v>
      </c>
      <c r="R241" t="s">
        <v>1013</v>
      </c>
      <c r="S241">
        <v>7.1410209974818145E-2</v>
      </c>
      <c r="T241">
        <v>3.5268497979333201E-2</v>
      </c>
      <c r="U241">
        <v>3.3576975564664569E-3</v>
      </c>
      <c r="V241">
        <v>9.4325874736774715E-2</v>
      </c>
      <c r="W241">
        <v>1.9656015045382081E-3</v>
      </c>
      <c r="X241">
        <v>1.4112329148182493E-3</v>
      </c>
      <c r="Y241">
        <v>-6.8122095116839421E-2</v>
      </c>
      <c r="Z241">
        <v>0</v>
      </c>
      <c r="AA241">
        <v>3.3228079813713292E-2</v>
      </c>
      <c r="AB241">
        <v>-7.7824708848747024</v>
      </c>
      <c r="AC241">
        <v>142.84842887648369</v>
      </c>
      <c r="AD241">
        <v>8945610.4697197564</v>
      </c>
      <c r="AE241">
        <v>2.1246083120080241E-3</v>
      </c>
      <c r="AF241">
        <v>89.946547835991609</v>
      </c>
      <c r="AG241">
        <v>-0.49044313879402351</v>
      </c>
      <c r="AH241">
        <v>49.388593020199998</v>
      </c>
      <c r="AI241">
        <v>47.029406979800008</v>
      </c>
      <c r="AJ241">
        <v>95.223216746759562</v>
      </c>
      <c r="AK241">
        <v>2.1285858106825586</v>
      </c>
      <c r="AL241">
        <v>-1.9877168385223485</v>
      </c>
      <c r="AM241">
        <v>-2.3882794730784371</v>
      </c>
      <c r="AN241">
        <v>-7.4984669262599071E-2</v>
      </c>
      <c r="AO241">
        <v>2.0615619889671519</v>
      </c>
      <c r="AP241">
        <v>1.697819</v>
      </c>
      <c r="AQ241" t="s">
        <v>330</v>
      </c>
      <c r="AR241" t="s">
        <v>330</v>
      </c>
      <c r="AS241">
        <v>1.697819</v>
      </c>
      <c r="AT241">
        <v>0</v>
      </c>
      <c r="AU241">
        <v>0</v>
      </c>
      <c r="AV241">
        <v>0</v>
      </c>
      <c r="AW241">
        <v>0</v>
      </c>
    </row>
    <row r="242" spans="2:49" ht="15" customHeight="1" x14ac:dyDescent="0.2">
      <c r="B242" t="s">
        <v>814</v>
      </c>
      <c r="C242" t="s">
        <v>815</v>
      </c>
      <c r="N242" t="s">
        <v>89</v>
      </c>
      <c r="O242">
        <v>96.838111830787057</v>
      </c>
      <c r="P242">
        <v>98.87179035692462</v>
      </c>
      <c r="Q242">
        <v>60.666188176887999</v>
      </c>
      <c r="R242" t="s">
        <v>1013</v>
      </c>
      <c r="S242">
        <v>0.5191922036927008</v>
      </c>
      <c r="T242">
        <v>0.38056390308448479</v>
      </c>
      <c r="U242">
        <v>5.5264061596968254E-3</v>
      </c>
      <c r="V242">
        <v>0.42482091158595947</v>
      </c>
      <c r="W242">
        <v>4.1915478911960238E-4</v>
      </c>
      <c r="X242">
        <v>0</v>
      </c>
      <c r="Y242">
        <v>-0.70559267901652167</v>
      </c>
      <c r="Z242">
        <v>0</v>
      </c>
      <c r="AA242">
        <v>4.0507978379767155E-2</v>
      </c>
      <c r="AB242">
        <v>-8.5832819455804312</v>
      </c>
      <c r="AC242">
        <v>142.48401502788835</v>
      </c>
      <c r="AD242">
        <v>968.38111830787068</v>
      </c>
      <c r="AE242">
        <v>0.25568544092391399</v>
      </c>
      <c r="AF242">
        <v>82.391952062506064</v>
      </c>
      <c r="AG242">
        <v>14.446159768280973</v>
      </c>
      <c r="AH242">
        <v>73.299232996521027</v>
      </c>
      <c r="AI242">
        <v>31.850767003478978</v>
      </c>
      <c r="AJ242">
        <v>43.453069972765881</v>
      </c>
      <c r="AK242">
        <v>2.7221752280646774</v>
      </c>
      <c r="AL242">
        <v>-1.9419457354069891</v>
      </c>
      <c r="AM242">
        <v>-2.901367954448915</v>
      </c>
      <c r="AN242">
        <v>0.20223214911374984</v>
      </c>
      <c r="AO242">
        <v>1.8468337949662283</v>
      </c>
      <c r="AP242">
        <v>-0.60956399999999999</v>
      </c>
      <c r="AQ242" t="s">
        <v>330</v>
      </c>
      <c r="AR242" t="s">
        <v>330</v>
      </c>
      <c r="AS242">
        <v>-0.60956399999999999</v>
      </c>
      <c r="AT242">
        <v>0.95102234902520211</v>
      </c>
      <c r="AU242">
        <v>31.850767003478985</v>
      </c>
      <c r="AV242">
        <v>31.850767003478985</v>
      </c>
      <c r="AW242">
        <v>0.33333333333333331</v>
      </c>
    </row>
    <row r="243" spans="2:49" ht="15" customHeight="1" x14ac:dyDescent="0.2">
      <c r="B243" t="s">
        <v>316</v>
      </c>
      <c r="C243" t="s">
        <v>355</v>
      </c>
      <c r="N243" t="s">
        <v>89</v>
      </c>
      <c r="O243">
        <v>566.2019732546961</v>
      </c>
      <c r="P243" t="s">
        <v>330</v>
      </c>
      <c r="Q243" t="s">
        <v>330</v>
      </c>
      <c r="R243" t="s">
        <v>1013</v>
      </c>
      <c r="S243" t="s">
        <v>330</v>
      </c>
      <c r="T243" t="s">
        <v>330</v>
      </c>
      <c r="U243" t="s">
        <v>330</v>
      </c>
      <c r="V243" t="s">
        <v>330</v>
      </c>
      <c r="W243" t="s">
        <v>330</v>
      </c>
      <c r="X243" t="s">
        <v>330</v>
      </c>
      <c r="Y243" t="s">
        <v>330</v>
      </c>
      <c r="Z243" t="s">
        <v>330</v>
      </c>
      <c r="AA243" t="s">
        <v>330</v>
      </c>
      <c r="AB243">
        <v>0.30624641675632963</v>
      </c>
      <c r="AC243">
        <v>149.12684074531319</v>
      </c>
      <c r="AD243">
        <v>566201.97325469612</v>
      </c>
      <c r="AE243">
        <v>0.32230313548842959</v>
      </c>
      <c r="AF243">
        <v>94.661997106414034</v>
      </c>
      <c r="AG243">
        <v>471.53997614828205</v>
      </c>
      <c r="AH243">
        <v>564.74362575500004</v>
      </c>
      <c r="AI243">
        <v>-0.11085445000003347</v>
      </c>
      <c r="AJ243">
        <v>-1.9634787963213021E-2</v>
      </c>
      <c r="AK243">
        <v>2.5065427409853012</v>
      </c>
      <c r="AL243">
        <v>-0.29766940806352066</v>
      </c>
      <c r="AM243">
        <v>-3.4803491714072878</v>
      </c>
      <c r="AN243">
        <v>6.4457926709155251E-3</v>
      </c>
      <c r="AO243">
        <v>5.257300788840933E-2</v>
      </c>
      <c r="AP243">
        <v>-35.443535919400368</v>
      </c>
      <c r="AQ243" t="s">
        <v>330</v>
      </c>
      <c r="AR243" t="s">
        <v>330</v>
      </c>
      <c r="AS243">
        <v>-35.443535919400368</v>
      </c>
      <c r="AT243">
        <v>0.39860541253002835</v>
      </c>
      <c r="AU243">
        <v>0</v>
      </c>
      <c r="AV243">
        <v>0</v>
      </c>
      <c r="AW243">
        <v>0.421875</v>
      </c>
    </row>
    <row r="244" spans="2:49" ht="15" customHeight="1" x14ac:dyDescent="0.2">
      <c r="B244" t="s">
        <v>816</v>
      </c>
      <c r="C244" t="s">
        <v>817</v>
      </c>
      <c r="N244" t="s">
        <v>89</v>
      </c>
      <c r="O244">
        <v>105.4520543963112</v>
      </c>
      <c r="P244">
        <v>1135.6724532149608</v>
      </c>
      <c r="Q244">
        <v>16.348295172483983</v>
      </c>
      <c r="R244" t="s">
        <v>1013</v>
      </c>
      <c r="S244">
        <v>0.77034954935169064</v>
      </c>
      <c r="T244">
        <v>0.45009057046489576</v>
      </c>
      <c r="U244">
        <v>3.1484942013880564E-3</v>
      </c>
      <c r="V244">
        <v>0.41093511426213924</v>
      </c>
      <c r="W244">
        <v>2.9908208516189914E-3</v>
      </c>
      <c r="X244">
        <v>0</v>
      </c>
      <c r="Y244">
        <v>-1.8494662148987138</v>
      </c>
      <c r="Z244">
        <v>0</v>
      </c>
      <c r="AA244">
        <v>0.58846096163473882</v>
      </c>
      <c r="AB244">
        <v>18.900584261171495</v>
      </c>
      <c r="AC244">
        <v>149.11168525265538</v>
      </c>
      <c r="AD244">
        <v>1054.520543963112</v>
      </c>
      <c r="AE244">
        <v>3.3083118652460284</v>
      </c>
      <c r="AF244">
        <v>84.510128656411226</v>
      </c>
      <c r="AG244">
        <v>20.941925739899965</v>
      </c>
      <c r="AH244">
        <v>58.447832517433163</v>
      </c>
      <c r="AI244">
        <v>27.073167482566838</v>
      </c>
      <c r="AJ244">
        <v>46.32022491936165</v>
      </c>
      <c r="AK244">
        <v>2.8273359564429184</v>
      </c>
      <c r="AL244">
        <v>-1.3539904632943376</v>
      </c>
      <c r="AM244">
        <v>-1.8005263962753588</v>
      </c>
      <c r="AN244">
        <v>0.19530291296412031</v>
      </c>
      <c r="AO244">
        <v>1.5832257144962496</v>
      </c>
      <c r="AP244">
        <v>7.1189770000000001</v>
      </c>
      <c r="AQ244" t="s">
        <v>330</v>
      </c>
      <c r="AR244" t="s">
        <v>330</v>
      </c>
      <c r="AS244">
        <v>7.1189770000000001</v>
      </c>
      <c r="AT244">
        <v>4.2387249915225498</v>
      </c>
      <c r="AU244">
        <v>7.4684599951908526</v>
      </c>
      <c r="AV244">
        <v>7.4684599951908526</v>
      </c>
      <c r="AW244">
        <v>0</v>
      </c>
    </row>
    <row r="245" spans="2:49" ht="15" customHeight="1" x14ac:dyDescent="0.2">
      <c r="B245" t="s">
        <v>818</v>
      </c>
      <c r="C245" t="s">
        <v>819</v>
      </c>
      <c r="N245" t="s">
        <v>89</v>
      </c>
      <c r="O245">
        <v>111.69139931395841</v>
      </c>
      <c r="P245">
        <v>1060.5907084469072</v>
      </c>
      <c r="Q245">
        <v>26.744894326890893</v>
      </c>
      <c r="R245" t="s">
        <v>1013</v>
      </c>
      <c r="S245">
        <v>0.70387763342233189</v>
      </c>
      <c r="T245">
        <v>0.47589890973220844</v>
      </c>
      <c r="U245">
        <v>3.8949278366839438E-3</v>
      </c>
      <c r="V245">
        <v>0.40824335561839009</v>
      </c>
      <c r="W245">
        <v>3.7717287164014124E-3</v>
      </c>
      <c r="X245">
        <v>0</v>
      </c>
      <c r="Y245">
        <v>-0.82112510190381927</v>
      </c>
      <c r="Z245">
        <v>0</v>
      </c>
      <c r="AA245">
        <v>0.35872681513672017</v>
      </c>
      <c r="AB245">
        <v>13.19474857014943</v>
      </c>
      <c r="AC245">
        <v>149.35545765781646</v>
      </c>
      <c r="AD245">
        <v>1116.9139931395841</v>
      </c>
      <c r="AE245">
        <v>3.497784083000377</v>
      </c>
      <c r="AF245">
        <v>91.930457080264816</v>
      </c>
      <c r="AG245">
        <v>19.760942233693594</v>
      </c>
      <c r="AH245">
        <v>67.628415749301922</v>
      </c>
      <c r="AI245">
        <v>29.293790368509278</v>
      </c>
      <c r="AJ245">
        <v>43.295447247439853</v>
      </c>
      <c r="AK245">
        <v>2.0508582835567277</v>
      </c>
      <c r="AL245">
        <v>-1.2891231734603252</v>
      </c>
      <c r="AM245">
        <v>-1.9868538952466679</v>
      </c>
      <c r="AN245">
        <v>6.1957008865778915E-2</v>
      </c>
      <c r="AO245">
        <v>1.3296235054359029</v>
      </c>
      <c r="AP245">
        <v>5.6164569999999996</v>
      </c>
      <c r="AQ245" t="s">
        <v>330</v>
      </c>
      <c r="AR245" t="s">
        <v>330</v>
      </c>
      <c r="AS245">
        <v>5.6164569999999996</v>
      </c>
      <c r="AT245">
        <v>4.7703034428698148</v>
      </c>
      <c r="AU245">
        <v>6.3406668650158009</v>
      </c>
      <c r="AV245">
        <v>6.3406668650158009</v>
      </c>
      <c r="AW245">
        <v>0.38541666666666663</v>
      </c>
    </row>
    <row r="246" spans="2:49" ht="15" customHeight="1" x14ac:dyDescent="0.2">
      <c r="B246" t="s">
        <v>820</v>
      </c>
      <c r="C246" t="s">
        <v>821</v>
      </c>
      <c r="N246" t="s">
        <v>89</v>
      </c>
      <c r="O246">
        <v>96.588210334608718</v>
      </c>
      <c r="P246">
        <v>103.35323820486323</v>
      </c>
      <c r="Q246" t="s">
        <v>330</v>
      </c>
      <c r="R246" t="s">
        <v>1013</v>
      </c>
      <c r="S246">
        <v>-1.5101598727122804E-14</v>
      </c>
      <c r="T246">
        <v>-9.5944388051398149E-16</v>
      </c>
      <c r="U246">
        <v>-6.9525690703318218E-14</v>
      </c>
      <c r="V246">
        <v>-4.5474735088646414E-14</v>
      </c>
      <c r="W246">
        <v>1.4589543917418268E-2</v>
      </c>
      <c r="X246">
        <v>0</v>
      </c>
      <c r="Y246">
        <v>-1.6437669425014697E-3</v>
      </c>
      <c r="Z246">
        <v>0</v>
      </c>
      <c r="AA246">
        <v>7.1272550838929341E-3</v>
      </c>
      <c r="AB246">
        <v>-1.4181748068899342</v>
      </c>
      <c r="AC246">
        <v>139.86671983077096</v>
      </c>
      <c r="AD246">
        <v>965.88210334608721</v>
      </c>
      <c r="AE246">
        <v>7.604938061264845E-15</v>
      </c>
      <c r="AF246">
        <v>96.838654953120908</v>
      </c>
      <c r="AG246">
        <v>-0.25044461851218786</v>
      </c>
      <c r="AH246">
        <v>6.355618679924012</v>
      </c>
      <c r="AI246">
        <v>91.602381320075992</v>
      </c>
      <c r="AJ246">
        <v>1441.2818945451772</v>
      </c>
      <c r="AK246">
        <v>0.40951124854933807</v>
      </c>
      <c r="AL246">
        <v>-0.40087593283953993</v>
      </c>
      <c r="AM246">
        <v>-0.48189880984625688</v>
      </c>
      <c r="AN246">
        <v>-0.32545110764565255</v>
      </c>
      <c r="AO246">
        <v>0.40923245966591798</v>
      </c>
      <c r="AP246">
        <v>5.0365373682269832</v>
      </c>
      <c r="AQ246" t="s">
        <v>330</v>
      </c>
      <c r="AR246" t="s">
        <v>330</v>
      </c>
      <c r="AS246">
        <v>5.036537</v>
      </c>
      <c r="AT246">
        <v>0</v>
      </c>
      <c r="AU246">
        <v>0</v>
      </c>
      <c r="AV246">
        <v>0</v>
      </c>
      <c r="AW246">
        <v>0</v>
      </c>
    </row>
    <row r="247" spans="2:49" ht="15" customHeight="1" x14ac:dyDescent="0.2">
      <c r="B247" t="s">
        <v>822</v>
      </c>
      <c r="C247" t="s">
        <v>823</v>
      </c>
      <c r="N247" t="s">
        <v>89</v>
      </c>
      <c r="O247">
        <v>90.846437505645781</v>
      </c>
      <c r="P247" t="s">
        <v>330</v>
      </c>
      <c r="Q247">
        <v>58.494382552557489</v>
      </c>
      <c r="R247" t="s">
        <v>1013</v>
      </c>
      <c r="S247" t="s">
        <v>330</v>
      </c>
      <c r="T247" t="s">
        <v>330</v>
      </c>
      <c r="U247" t="s">
        <v>330</v>
      </c>
      <c r="V247" t="s">
        <v>330</v>
      </c>
      <c r="W247" t="s">
        <v>330</v>
      </c>
      <c r="X247" t="s">
        <v>330</v>
      </c>
      <c r="Y247" t="s">
        <v>330</v>
      </c>
      <c r="Z247" t="s">
        <v>330</v>
      </c>
      <c r="AA247" t="s">
        <v>330</v>
      </c>
      <c r="AB247">
        <v>-17.077788541119236</v>
      </c>
      <c r="AC247">
        <v>0</v>
      </c>
      <c r="AD247">
        <v>9084643.7505645771</v>
      </c>
      <c r="AE247">
        <v>1.5360644312856582E-2</v>
      </c>
      <c r="AF247">
        <v>83.833982496090883</v>
      </c>
      <c r="AG247">
        <v>7.0124550095548948</v>
      </c>
      <c r="AH247">
        <v>75.057133529227301</v>
      </c>
      <c r="AI247">
        <v>31.303866470772704</v>
      </c>
      <c r="AJ247">
        <v>41.706717268363249</v>
      </c>
      <c r="AK247">
        <v>2.9698331193093193</v>
      </c>
      <c r="AL247">
        <v>-2.0405937452784739</v>
      </c>
      <c r="AM247">
        <v>-3.0496907124424353</v>
      </c>
      <c r="AN247">
        <v>0.16843209462533765</v>
      </c>
      <c r="AO247">
        <v>2.2462011734380427</v>
      </c>
      <c r="AP247">
        <v>-1.7369680000000001</v>
      </c>
      <c r="AQ247" t="s">
        <v>330</v>
      </c>
      <c r="AR247" t="s">
        <v>330</v>
      </c>
      <c r="AS247">
        <v>-1.7369680000000001</v>
      </c>
      <c r="AT247">
        <v>0</v>
      </c>
      <c r="AU247">
        <v>0</v>
      </c>
      <c r="AV247">
        <v>0</v>
      </c>
      <c r="AW247">
        <v>0</v>
      </c>
    </row>
    <row r="248" spans="2:49" ht="15" customHeight="1" x14ac:dyDescent="0.2">
      <c r="B248" t="s">
        <v>824</v>
      </c>
      <c r="C248" t="s">
        <v>825</v>
      </c>
      <c r="N248" t="s">
        <v>89</v>
      </c>
      <c r="O248">
        <v>87.337011803485126</v>
      </c>
      <c r="P248" t="s">
        <v>330</v>
      </c>
      <c r="Q248">
        <v>60.588749214067683</v>
      </c>
      <c r="R248" t="s">
        <v>1013</v>
      </c>
      <c r="S248" t="s">
        <v>330</v>
      </c>
      <c r="T248" t="s">
        <v>330</v>
      </c>
      <c r="U248" t="s">
        <v>330</v>
      </c>
      <c r="V248" t="s">
        <v>330</v>
      </c>
      <c r="W248" t="s">
        <v>330</v>
      </c>
      <c r="X248" t="s">
        <v>330</v>
      </c>
      <c r="Y248" t="s">
        <v>330</v>
      </c>
      <c r="Z248" t="s">
        <v>330</v>
      </c>
      <c r="AA248" t="s">
        <v>330</v>
      </c>
      <c r="AB248">
        <v>-23.5112099355058</v>
      </c>
      <c r="AC248">
        <v>0</v>
      </c>
      <c r="AD248">
        <v>8733701.1803485136</v>
      </c>
      <c r="AE248">
        <v>2.1071483911586752E-2</v>
      </c>
      <c r="AF248">
        <v>75.290418277384703</v>
      </c>
      <c r="AG248">
        <v>12.046593526100414</v>
      </c>
      <c r="AH248">
        <v>78.117567108388513</v>
      </c>
      <c r="AI248">
        <v>29.753432891611482</v>
      </c>
      <c r="AJ248">
        <v>38.088017833848362</v>
      </c>
      <c r="AK248">
        <v>4.0437972607726991</v>
      </c>
      <c r="AL248">
        <v>-2.4839106827676298</v>
      </c>
      <c r="AM248">
        <v>-3.8975798032015563</v>
      </c>
      <c r="AN248">
        <v>0.39693168500510023</v>
      </c>
      <c r="AO248">
        <v>2.8440527463392229</v>
      </c>
      <c r="AP248">
        <v>-1.3633299999999999</v>
      </c>
      <c r="AQ248" t="s">
        <v>330</v>
      </c>
      <c r="AR248" t="s">
        <v>330</v>
      </c>
      <c r="AS248">
        <v>-1.3633299999999999</v>
      </c>
      <c r="AT248">
        <v>0</v>
      </c>
      <c r="AU248">
        <v>0</v>
      </c>
      <c r="AV248">
        <v>0</v>
      </c>
      <c r="AW248">
        <v>0</v>
      </c>
    </row>
    <row r="249" spans="2:49" ht="15" customHeight="1" x14ac:dyDescent="0.2">
      <c r="B249" t="s">
        <v>826</v>
      </c>
      <c r="C249" t="s">
        <v>827</v>
      </c>
      <c r="N249" t="s">
        <v>89</v>
      </c>
      <c r="O249">
        <v>93.129338294264286</v>
      </c>
      <c r="P249">
        <v>59.188065095933553</v>
      </c>
      <c r="Q249">
        <v>57.034610593627853</v>
      </c>
      <c r="R249" t="s">
        <v>1013</v>
      </c>
      <c r="S249">
        <v>0.59825375733881936</v>
      </c>
      <c r="T249">
        <v>0.51248677886928151</v>
      </c>
      <c r="U249">
        <v>5.3409514874986283E-3</v>
      </c>
      <c r="V249">
        <v>0.78936051988658495</v>
      </c>
      <c r="W249">
        <v>-5.1023992863669992E-3</v>
      </c>
      <c r="X249">
        <v>-1.6103451870636192</v>
      </c>
      <c r="Y249">
        <v>-1.8579212327835315</v>
      </c>
      <c r="Z249">
        <v>0</v>
      </c>
      <c r="AA249">
        <v>5.0508594866237023E-2</v>
      </c>
      <c r="AB249">
        <v>-18.58024766702485</v>
      </c>
      <c r="AC249">
        <v>0</v>
      </c>
      <c r="AD249">
        <v>9312933.8294264283</v>
      </c>
      <c r="AE249">
        <v>2.1150919474588584E-2</v>
      </c>
      <c r="AF249">
        <v>71.65563879822443</v>
      </c>
      <c r="AG249">
        <v>21.473699496039842</v>
      </c>
      <c r="AH249">
        <v>85.663779388356772</v>
      </c>
      <c r="AI249">
        <v>24.769220611643235</v>
      </c>
      <c r="AJ249">
        <v>28.914461617846634</v>
      </c>
      <c r="AK249">
        <v>5.7852184739468644</v>
      </c>
      <c r="AL249">
        <v>-3.8957984058010391</v>
      </c>
      <c r="AM249">
        <v>-6.2642485540777448</v>
      </c>
      <c r="AN249">
        <v>-1.440627994460336</v>
      </c>
      <c r="AO249">
        <v>3.5277484137902975</v>
      </c>
      <c r="AP249">
        <v>-1.536</v>
      </c>
      <c r="AQ249" t="s">
        <v>330</v>
      </c>
      <c r="AR249" t="s">
        <v>330</v>
      </c>
      <c r="AS249">
        <v>-1.536</v>
      </c>
      <c r="AT249">
        <v>0</v>
      </c>
      <c r="AU249">
        <v>0</v>
      </c>
      <c r="AV249">
        <v>0</v>
      </c>
      <c r="AW249">
        <v>0</v>
      </c>
    </row>
    <row r="250" spans="2:49" ht="15" customHeight="1" x14ac:dyDescent="0.2">
      <c r="B250" t="s">
        <v>828</v>
      </c>
      <c r="C250" t="s">
        <v>829</v>
      </c>
      <c r="N250" t="s">
        <v>89</v>
      </c>
      <c r="O250">
        <v>89.866448545568957</v>
      </c>
      <c r="P250">
        <v>65.546062650801943</v>
      </c>
      <c r="Q250" t="s">
        <v>330</v>
      </c>
      <c r="R250" t="s">
        <v>1013</v>
      </c>
      <c r="S250">
        <v>2.5176136421795569E-2</v>
      </c>
      <c r="T250">
        <v>4.4884208598158235E-3</v>
      </c>
      <c r="U250">
        <v>8.0274882559776804E-4</v>
      </c>
      <c r="V250">
        <v>1.2181012759600662E-2</v>
      </c>
      <c r="W250">
        <v>1.2161341179171359E-2</v>
      </c>
      <c r="X250">
        <v>0</v>
      </c>
      <c r="Y250">
        <v>-6.1916978874571819E-3</v>
      </c>
      <c r="Z250">
        <v>0</v>
      </c>
      <c r="AA250">
        <v>1.5696697807761402E-2</v>
      </c>
      <c r="AB250">
        <v>-5.4787426610437855</v>
      </c>
      <c r="AC250">
        <v>148.64956318845663</v>
      </c>
      <c r="AD250">
        <v>898.6644854556896</v>
      </c>
      <c r="AE250">
        <v>2.4311969980515748E-2</v>
      </c>
      <c r="AF250">
        <v>90.473602464937912</v>
      </c>
      <c r="AG250">
        <v>-0.60715391936896601</v>
      </c>
      <c r="AH250">
        <v>17.818402873802189</v>
      </c>
      <c r="AI250">
        <v>76.971597126197821</v>
      </c>
      <c r="AJ250">
        <v>431.97809406008344</v>
      </c>
      <c r="AK250">
        <v>1.3999517841141087</v>
      </c>
      <c r="AL250">
        <v>-1.3045610072358045</v>
      </c>
      <c r="AM250">
        <v>-1.5302499071304965</v>
      </c>
      <c r="AN250">
        <v>5.1662902216823145E-3</v>
      </c>
      <c r="AO250">
        <v>1.3762643815126114</v>
      </c>
      <c r="AP250">
        <v>4.079476371106848</v>
      </c>
      <c r="AQ250" t="s">
        <v>330</v>
      </c>
      <c r="AR250" t="s">
        <v>330</v>
      </c>
      <c r="AS250">
        <v>4.0794759999999997</v>
      </c>
      <c r="AT250">
        <v>0.26374090093891756</v>
      </c>
      <c r="AU250">
        <v>307.88638850479128</v>
      </c>
      <c r="AV250">
        <v>307.88638850479128</v>
      </c>
      <c r="AW250">
        <v>2.0833333333333332E-2</v>
      </c>
    </row>
    <row r="251" spans="2:49" ht="15" customHeight="1" x14ac:dyDescent="0.2">
      <c r="B251" t="s">
        <v>830</v>
      </c>
      <c r="C251" t="s">
        <v>831</v>
      </c>
      <c r="N251" t="s">
        <v>89</v>
      </c>
      <c r="O251">
        <v>166.15214698784342</v>
      </c>
      <c r="P251">
        <v>748.74317616144185</v>
      </c>
      <c r="Q251">
        <v>63.727266202351259</v>
      </c>
      <c r="R251" t="s">
        <v>1013</v>
      </c>
      <c r="S251">
        <v>0.85745967154891256</v>
      </c>
      <c r="T251">
        <v>1.1303343481274748</v>
      </c>
      <c r="U251">
        <v>1.8141269983332165E-3</v>
      </c>
      <c r="V251">
        <v>0.3847368756853598</v>
      </c>
      <c r="W251">
        <v>-4.5231039334794334E-4</v>
      </c>
      <c r="X251">
        <v>0</v>
      </c>
      <c r="Y251">
        <v>-1.1994644169897293</v>
      </c>
      <c r="Z251">
        <v>0</v>
      </c>
      <c r="AA251">
        <v>0.15266289441947681</v>
      </c>
      <c r="AB251">
        <v>4.6133300873952905</v>
      </c>
      <c r="AC251">
        <v>154.88359122103506</v>
      </c>
      <c r="AD251">
        <v>1661.5214698784341</v>
      </c>
      <c r="AE251">
        <v>5.2695907644894122</v>
      </c>
      <c r="AF251">
        <v>87.610305922039259</v>
      </c>
      <c r="AG251">
        <v>78.541841065804164</v>
      </c>
      <c r="AH251">
        <v>132.06910360931394</v>
      </c>
      <c r="AI251">
        <v>26.417896390686053</v>
      </c>
      <c r="AJ251">
        <v>20.003086012331334</v>
      </c>
      <c r="AK251">
        <v>2.1190480015374282</v>
      </c>
      <c r="AL251">
        <v>-1.1868037263653832</v>
      </c>
      <c r="AM251">
        <v>-1.8083987121272003</v>
      </c>
      <c r="AN251">
        <v>1.0333262253705691</v>
      </c>
      <c r="AO251">
        <v>0.74883348562682317</v>
      </c>
      <c r="AP251">
        <v>-7.1474140000000004</v>
      </c>
      <c r="AQ251" t="s">
        <v>330</v>
      </c>
      <c r="AR251" t="s">
        <v>330</v>
      </c>
      <c r="AS251">
        <v>-7.1474140000000004</v>
      </c>
      <c r="AT251">
        <v>2.5238663108015169</v>
      </c>
      <c r="AU251">
        <v>6.6044740976715044</v>
      </c>
      <c r="AV251">
        <v>6.6044740976715044</v>
      </c>
      <c r="AW251">
        <v>0.48888888888888887</v>
      </c>
    </row>
    <row r="252" spans="2:49" ht="15" customHeight="1" x14ac:dyDescent="0.2">
      <c r="B252" t="s">
        <v>832</v>
      </c>
      <c r="C252" t="s">
        <v>833</v>
      </c>
      <c r="N252" t="s">
        <v>89</v>
      </c>
      <c r="O252">
        <v>297.70118711813791</v>
      </c>
      <c r="P252">
        <v>99.567336797508815</v>
      </c>
      <c r="Q252">
        <v>76.452209299601577</v>
      </c>
      <c r="R252" t="s">
        <v>1013</v>
      </c>
      <c r="S252">
        <v>0.97691281840223554</v>
      </c>
      <c r="T252">
        <v>2.9082462773166498</v>
      </c>
      <c r="U252">
        <v>1.075371644689276E-3</v>
      </c>
      <c r="V252">
        <v>0.6846626093689725</v>
      </c>
      <c r="W252">
        <v>4.3708856783807276E-4</v>
      </c>
      <c r="X252">
        <v>0.64822761749748181</v>
      </c>
      <c r="Y252">
        <v>-0.49983049648578581</v>
      </c>
      <c r="Z252">
        <v>0</v>
      </c>
      <c r="AA252">
        <v>4.7627855456847555E-3</v>
      </c>
      <c r="AB252">
        <v>-0.50346217842500574</v>
      </c>
      <c r="AC252">
        <v>155.9123257261376</v>
      </c>
      <c r="AD252">
        <v>29770118.711813793</v>
      </c>
      <c r="AE252">
        <v>3.8382556121375873E-2</v>
      </c>
      <c r="AF252">
        <v>85.428153923679361</v>
      </c>
      <c r="AG252">
        <v>212.27303319445855</v>
      </c>
      <c r="AH252">
        <v>297.69762690524999</v>
      </c>
      <c r="AI252">
        <v>1.5023730947499985</v>
      </c>
      <c r="AJ252">
        <v>0.50466411518563015</v>
      </c>
      <c r="AK252">
        <v>1.2258356364858392</v>
      </c>
      <c r="AL252">
        <v>-0.32103763786368072</v>
      </c>
      <c r="AM252">
        <v>-8.4850238783597938</v>
      </c>
      <c r="AN252">
        <v>-1.6454597423998589</v>
      </c>
      <c r="AO252">
        <v>0.10729867575657778</v>
      </c>
      <c r="AP252">
        <v>-29.319475979166597</v>
      </c>
      <c r="AQ252" t="s">
        <v>330</v>
      </c>
      <c r="AR252" t="s">
        <v>330</v>
      </c>
      <c r="AS252">
        <v>-29.319476000000002</v>
      </c>
      <c r="AT252">
        <v>0</v>
      </c>
      <c r="AU252">
        <v>0</v>
      </c>
      <c r="AV252">
        <v>0</v>
      </c>
      <c r="AW252">
        <v>0</v>
      </c>
    </row>
    <row r="253" spans="2:49" ht="15" customHeight="1" x14ac:dyDescent="0.2">
      <c r="B253" t="s">
        <v>834</v>
      </c>
      <c r="C253" t="s">
        <v>835</v>
      </c>
      <c r="N253" t="s">
        <v>89</v>
      </c>
      <c r="O253">
        <v>94.774281520044326</v>
      </c>
      <c r="P253">
        <v>365.45339713503517</v>
      </c>
      <c r="Q253">
        <v>73.416258711055406</v>
      </c>
      <c r="R253" t="s">
        <v>1013</v>
      </c>
      <c r="S253">
        <v>0.18900904402038188</v>
      </c>
      <c r="T253">
        <v>5.9946758277748625E-2</v>
      </c>
      <c r="U253">
        <v>2.7710881041348146E-3</v>
      </c>
      <c r="V253">
        <v>0.10430493091019889</v>
      </c>
      <c r="W253">
        <v>1.6689786923932842E-2</v>
      </c>
      <c r="X253">
        <v>2.0133180035176185E-3</v>
      </c>
      <c r="Y253">
        <v>-9.6496309633282568E-2</v>
      </c>
      <c r="Z253">
        <v>-5.9319151330767907E-2</v>
      </c>
      <c r="AA253">
        <v>0.11426179997182959</v>
      </c>
      <c r="AB253">
        <v>-1.5486463800258388</v>
      </c>
      <c r="AC253">
        <v>148.37455370499868</v>
      </c>
      <c r="AD253">
        <v>189548.56304008863</v>
      </c>
      <c r="AE253">
        <v>1.0057082635155232</v>
      </c>
      <c r="AF253">
        <v>93.90163438161099</v>
      </c>
      <c r="AG253">
        <v>0.87264713843332709</v>
      </c>
      <c r="AH253">
        <v>31.716160844651633</v>
      </c>
      <c r="AI253">
        <v>64.525107187639051</v>
      </c>
      <c r="AJ253">
        <v>203.44082117177581</v>
      </c>
      <c r="AK253">
        <v>1.912111139321381</v>
      </c>
      <c r="AL253">
        <v>-1.7089736833035567</v>
      </c>
      <c r="AM253">
        <v>-2.0937621598545229</v>
      </c>
      <c r="AN253">
        <v>6.8317778728909942E-2</v>
      </c>
      <c r="AO253">
        <v>1.7757046645991945</v>
      </c>
      <c r="AP253">
        <v>6.4775782501982544</v>
      </c>
      <c r="AQ253" t="s">
        <v>330</v>
      </c>
      <c r="AR253" t="s">
        <v>330</v>
      </c>
      <c r="AS253">
        <v>6.4775780000000003</v>
      </c>
      <c r="AT253">
        <v>4.6757133060410219</v>
      </c>
      <c r="AU253">
        <v>0</v>
      </c>
      <c r="AV253">
        <v>0</v>
      </c>
      <c r="AW253">
        <v>1.9624999999999999</v>
      </c>
    </row>
    <row r="254" spans="2:49" ht="15" customHeight="1" x14ac:dyDescent="0.2">
      <c r="B254" t="s">
        <v>836</v>
      </c>
      <c r="C254" t="s">
        <v>837</v>
      </c>
      <c r="N254" t="s">
        <v>89</v>
      </c>
      <c r="O254">
        <v>236.82050357249938</v>
      </c>
      <c r="P254">
        <v>125.08085391330948</v>
      </c>
      <c r="Q254">
        <v>70.930588405703247</v>
      </c>
      <c r="R254" t="s">
        <v>1013</v>
      </c>
      <c r="S254">
        <v>0.92528658050525459</v>
      </c>
      <c r="T254">
        <v>2.0932241816231758</v>
      </c>
      <c r="U254">
        <v>1.6057095287603811E-3</v>
      </c>
      <c r="V254">
        <v>0.54519452343090502</v>
      </c>
      <c r="W254">
        <v>5.600800732418065E-3</v>
      </c>
      <c r="X254">
        <v>0</v>
      </c>
      <c r="Y254">
        <v>-2.6910639983950495</v>
      </c>
      <c r="Z254">
        <v>0</v>
      </c>
      <c r="AA254">
        <v>2.0496218215195473E-2</v>
      </c>
      <c r="AB254">
        <v>-3.6329187286213109</v>
      </c>
      <c r="AC254">
        <v>146.78308959620119</v>
      </c>
      <c r="AD254">
        <v>2368.2050357249936</v>
      </c>
      <c r="AE254">
        <v>2.7513451031730942</v>
      </c>
      <c r="AF254">
        <v>85.732601036061325</v>
      </c>
      <c r="AG254">
        <v>151.08790253643804</v>
      </c>
      <c r="AH254">
        <v>226.22441800465393</v>
      </c>
      <c r="AI254">
        <v>19.19958199534608</v>
      </c>
      <c r="AJ254">
        <v>8.4869627092823841</v>
      </c>
      <c r="AK254">
        <v>2.6857644919021806</v>
      </c>
      <c r="AL254">
        <v>-1.2606002419474862</v>
      </c>
      <c r="AM254">
        <v>-3.5987393063946911</v>
      </c>
      <c r="AN254">
        <v>5.9335392790418849E-2</v>
      </c>
      <c r="AO254">
        <v>0.51364179621694961</v>
      </c>
      <c r="AP254">
        <v>-13.496409</v>
      </c>
      <c r="AQ254" t="s">
        <v>330</v>
      </c>
      <c r="AR254" t="s">
        <v>330</v>
      </c>
      <c r="AS254">
        <v>-13.496409</v>
      </c>
      <c r="AT254">
        <v>1.1640662868622769</v>
      </c>
      <c r="AU254">
        <v>6.7204295359961597</v>
      </c>
      <c r="AV254">
        <v>6.7204295359961597</v>
      </c>
      <c r="AW254">
        <v>0</v>
      </c>
    </row>
    <row r="255" spans="2:49" ht="15" customHeight="1" x14ac:dyDescent="0.2">
      <c r="B255" t="s">
        <v>838</v>
      </c>
      <c r="C255" t="s">
        <v>839</v>
      </c>
      <c r="N255" t="s">
        <v>89</v>
      </c>
      <c r="O255">
        <v>146.64967321639728</v>
      </c>
      <c r="P255">
        <v>251.20227960119263</v>
      </c>
      <c r="Q255">
        <v>46.833577389718123</v>
      </c>
      <c r="R255" t="s">
        <v>1013</v>
      </c>
      <c r="S255">
        <v>0.85470762730314964</v>
      </c>
      <c r="T255">
        <v>1.2236863299596326</v>
      </c>
      <c r="U255">
        <v>3.7678453525402146E-3</v>
      </c>
      <c r="V255">
        <v>0.64022154072566895</v>
      </c>
      <c r="W255">
        <v>1.6398230700753629E-3</v>
      </c>
      <c r="X255">
        <v>0.21248270203201669</v>
      </c>
      <c r="Y255">
        <v>-1.4600200752641033</v>
      </c>
      <c r="Z255">
        <v>0</v>
      </c>
      <c r="AA255">
        <v>7.2210924679132135E-2</v>
      </c>
      <c r="AB255">
        <v>-3.0701239797234643</v>
      </c>
      <c r="AC255">
        <v>147.79716210436052</v>
      </c>
      <c r="AD255">
        <v>14664967.321639728</v>
      </c>
      <c r="AE255">
        <v>1.8182560623471507E-2</v>
      </c>
      <c r="AF255">
        <v>82.710175014922285</v>
      </c>
      <c r="AG255">
        <v>63.939498201474997</v>
      </c>
      <c r="AH255">
        <v>143.17016613280001</v>
      </c>
      <c r="AI255">
        <v>7.9818338671999811</v>
      </c>
      <c r="AJ255">
        <v>5.5750678250916401</v>
      </c>
      <c r="AK255">
        <v>2.721783519839243</v>
      </c>
      <c r="AL255">
        <v>-1.2121150128143841</v>
      </c>
      <c r="AM255">
        <v>-3.1939300879893824</v>
      </c>
      <c r="AN255">
        <v>-1.2252973433801551</v>
      </c>
      <c r="AO255">
        <v>0.80191794538900174</v>
      </c>
      <c r="AP255">
        <v>-6.906854</v>
      </c>
      <c r="AQ255" t="s">
        <v>330</v>
      </c>
      <c r="AR255">
        <v>-10.365925000000001</v>
      </c>
      <c r="AS255">
        <v>-6.906854</v>
      </c>
      <c r="AT255">
        <v>0</v>
      </c>
      <c r="AU255">
        <v>0</v>
      </c>
      <c r="AV255">
        <v>0</v>
      </c>
      <c r="AW255">
        <v>0</v>
      </c>
    </row>
    <row r="256" spans="2:49" ht="15" customHeight="1" x14ac:dyDescent="0.2">
      <c r="B256" t="s">
        <v>840</v>
      </c>
      <c r="C256" t="s">
        <v>841</v>
      </c>
      <c r="N256" t="s">
        <v>89</v>
      </c>
      <c r="O256">
        <v>93.235128917657889</v>
      </c>
      <c r="P256">
        <v>94.847813452932996</v>
      </c>
      <c r="Q256">
        <v>88.021202017543288</v>
      </c>
      <c r="R256" t="s">
        <v>1013</v>
      </c>
      <c r="S256">
        <v>3.231663755471384E-2</v>
      </c>
      <c r="T256">
        <v>1.249148700883738E-2</v>
      </c>
      <c r="U256">
        <v>1.6453976824072286E-3</v>
      </c>
      <c r="V256">
        <v>2.6425660771167259E-2</v>
      </c>
      <c r="W256">
        <v>1.2000303301886107E-2</v>
      </c>
      <c r="X256">
        <v>0</v>
      </c>
      <c r="Y256">
        <v>-1.1297166620404163E-2</v>
      </c>
      <c r="Z256">
        <v>0</v>
      </c>
      <c r="AA256">
        <v>1.4628355942749131E-2</v>
      </c>
      <c r="AB256">
        <v>-3.2336214014405917</v>
      </c>
      <c r="AC256">
        <v>144.10869509775688</v>
      </c>
      <c r="AD256">
        <v>932.35128917657892</v>
      </c>
      <c r="AE256">
        <v>6.7748324583502568E-3</v>
      </c>
      <c r="AF256">
        <v>93.556012934835962</v>
      </c>
      <c r="AG256">
        <v>-0.32088401717808213</v>
      </c>
      <c r="AH256">
        <v>38.653424223632811</v>
      </c>
      <c r="AI256">
        <v>57.596575776367189</v>
      </c>
      <c r="AJ256">
        <v>149.00769319462384</v>
      </c>
      <c r="AK256">
        <v>0.9083996137401058</v>
      </c>
      <c r="AL256">
        <v>-0.85050607970464398</v>
      </c>
      <c r="AM256">
        <v>-1.0109620886069024</v>
      </c>
      <c r="AN256">
        <v>1.2527640765772089E-3</v>
      </c>
      <c r="AO256">
        <v>0.88364268021261716</v>
      </c>
      <c r="AP256">
        <v>4.4835799999999999</v>
      </c>
      <c r="AQ256" t="s">
        <v>330</v>
      </c>
      <c r="AR256" t="s">
        <v>330</v>
      </c>
      <c r="AS256">
        <v>4.4835799999999999</v>
      </c>
      <c r="AT256">
        <v>0.25974025974025972</v>
      </c>
      <c r="AU256">
        <v>230.38630310546878</v>
      </c>
      <c r="AV256">
        <v>230.38630310546878</v>
      </c>
      <c r="AW256">
        <v>2.0833333333333332E-2</v>
      </c>
    </row>
    <row r="257" spans="2:49" ht="15" customHeight="1" x14ac:dyDescent="0.2">
      <c r="B257" t="s">
        <v>842</v>
      </c>
      <c r="C257" t="s">
        <v>843</v>
      </c>
      <c r="N257" t="s">
        <v>89</v>
      </c>
      <c r="O257">
        <v>204.16940061192167</v>
      </c>
      <c r="P257" t="s">
        <v>330</v>
      </c>
      <c r="Q257" t="s">
        <v>330</v>
      </c>
      <c r="R257" t="s">
        <v>1013</v>
      </c>
      <c r="S257" t="s">
        <v>330</v>
      </c>
      <c r="T257" t="s">
        <v>330</v>
      </c>
      <c r="U257" t="s">
        <v>330</v>
      </c>
      <c r="V257" t="s">
        <v>330</v>
      </c>
      <c r="W257" t="s">
        <v>330</v>
      </c>
      <c r="X257" t="s">
        <v>330</v>
      </c>
      <c r="Y257" t="s">
        <v>330</v>
      </c>
      <c r="Z257" t="s">
        <v>330</v>
      </c>
      <c r="AA257" t="s">
        <v>330</v>
      </c>
      <c r="AB257">
        <v>0.79806308243946489</v>
      </c>
      <c r="AC257">
        <v>0</v>
      </c>
      <c r="AD257">
        <v>2041.6940061192167</v>
      </c>
      <c r="AE257">
        <v>1.1046242885377315</v>
      </c>
      <c r="AF257">
        <v>99.273027311448018</v>
      </c>
      <c r="AG257">
        <v>104.89637330047368</v>
      </c>
      <c r="AH257">
        <v>203.83025159790037</v>
      </c>
      <c r="AI257">
        <v>-1.2902515979003795</v>
      </c>
      <c r="AJ257">
        <v>-0.63300299527946524</v>
      </c>
      <c r="AK257">
        <v>0.1255007738029271</v>
      </c>
      <c r="AL257">
        <v>-1.6015403955407237E-3</v>
      </c>
      <c r="AM257">
        <v>1.6598074229932536E-2</v>
      </c>
      <c r="AN257">
        <v>2.1375673097152227E-6</v>
      </c>
      <c r="AO257">
        <v>7.8441744489659237E-4</v>
      </c>
      <c r="AP257">
        <v>-402.07564618159142</v>
      </c>
      <c r="AQ257" t="s">
        <v>330</v>
      </c>
      <c r="AR257" t="s">
        <v>330</v>
      </c>
      <c r="AS257">
        <v>-402.07564600000001</v>
      </c>
      <c r="AT257">
        <v>1.1726078799249531</v>
      </c>
      <c r="AU257">
        <v>0</v>
      </c>
      <c r="AV257">
        <v>0</v>
      </c>
      <c r="AW257">
        <v>0.88402777777777786</v>
      </c>
    </row>
    <row r="258" spans="2:49" ht="15" customHeight="1" x14ac:dyDescent="0.2">
      <c r="B258" t="s">
        <v>844</v>
      </c>
      <c r="C258" t="s">
        <v>845</v>
      </c>
      <c r="N258" t="s">
        <v>89</v>
      </c>
      <c r="O258">
        <v>111.33168643601982</v>
      </c>
      <c r="P258">
        <v>1811.7981496873367</v>
      </c>
      <c r="Q258">
        <v>30.900297663760956</v>
      </c>
      <c r="R258" t="s">
        <v>1013</v>
      </c>
      <c r="S258">
        <v>0.99091145848594819</v>
      </c>
      <c r="T258">
        <v>1.0981375145773749</v>
      </c>
      <c r="U258">
        <v>-1.6712432750521724E-2</v>
      </c>
      <c r="V258">
        <v>0</v>
      </c>
      <c r="W258">
        <v>-1.3081449079886079E-2</v>
      </c>
      <c r="X258">
        <v>0</v>
      </c>
      <c r="Y258">
        <v>-0.40396122677849716</v>
      </c>
      <c r="Z258">
        <v>0</v>
      </c>
      <c r="AA258">
        <v>0.10370513624843673</v>
      </c>
      <c r="AB258">
        <v>-1.4877288012088352</v>
      </c>
      <c r="AC258">
        <v>0</v>
      </c>
      <c r="AD258">
        <v>11133168.643601982</v>
      </c>
      <c r="AE258">
        <v>5.0246511762863176E-2</v>
      </c>
      <c r="AF258">
        <v>97.944164345156551</v>
      </c>
      <c r="AG258">
        <v>13.387522090863268</v>
      </c>
      <c r="AH258">
        <v>110.82095228318998</v>
      </c>
      <c r="AI258">
        <v>2.1670477168100177</v>
      </c>
      <c r="AJ258">
        <v>1.9554494634483746</v>
      </c>
      <c r="AK258">
        <v>0.42252193675166205</v>
      </c>
      <c r="AL258">
        <v>-6.9248712028376755E-3</v>
      </c>
      <c r="AM258">
        <v>9.242954151201993E-2</v>
      </c>
      <c r="AN258">
        <v>-0.32903630041054444</v>
      </c>
      <c r="AO258">
        <v>6.1288554561879805E-3</v>
      </c>
      <c r="AP258">
        <v>-25.387788</v>
      </c>
      <c r="AQ258" t="s">
        <v>330</v>
      </c>
      <c r="AR258" t="s">
        <v>330</v>
      </c>
      <c r="AS258">
        <v>-25.387788</v>
      </c>
      <c r="AT258">
        <v>0</v>
      </c>
      <c r="AU258">
        <v>0</v>
      </c>
      <c r="AV258">
        <v>0</v>
      </c>
      <c r="AW258">
        <v>0</v>
      </c>
    </row>
    <row r="259" spans="2:49" ht="15" customHeight="1" x14ac:dyDescent="0.2">
      <c r="B259" t="s">
        <v>846</v>
      </c>
      <c r="C259" t="s">
        <v>847</v>
      </c>
      <c r="N259" t="s">
        <v>89</v>
      </c>
      <c r="O259">
        <v>98.729611798551801</v>
      </c>
      <c r="P259">
        <v>16.635870016650149</v>
      </c>
      <c r="Q259">
        <v>50.528184692449351</v>
      </c>
      <c r="R259" t="s">
        <v>1013</v>
      </c>
      <c r="S259">
        <v>0.28364564768010114</v>
      </c>
      <c r="T259">
        <v>0.22166166200122517</v>
      </c>
      <c r="U259">
        <v>1.0858383446544797E-2</v>
      </c>
      <c r="V259">
        <v>0.22042641396783874</v>
      </c>
      <c r="W259">
        <v>-8.2821651675505561E-3</v>
      </c>
      <c r="X259">
        <v>0</v>
      </c>
      <c r="Y259">
        <v>-0.141254542604207</v>
      </c>
      <c r="Z259">
        <v>0</v>
      </c>
      <c r="AA259">
        <v>1.9371688920685967E-3</v>
      </c>
      <c r="AB259">
        <v>-3.1048316159723468</v>
      </c>
      <c r="AC259">
        <v>0</v>
      </c>
      <c r="AD259">
        <v>987296.11798551795</v>
      </c>
      <c r="AE259">
        <v>0.58516806230524065</v>
      </c>
      <c r="AF259">
        <v>95.443230151426675</v>
      </c>
      <c r="AG259">
        <v>3.2863816471251193</v>
      </c>
      <c r="AH259">
        <v>78.147386999999995</v>
      </c>
      <c r="AI259">
        <v>23.647610796451573</v>
      </c>
      <c r="AJ259">
        <v>30.26026977671291</v>
      </c>
      <c r="AK259">
        <v>0.72256414593579488</v>
      </c>
      <c r="AL259">
        <v>-0.57144324912189037</v>
      </c>
      <c r="AM259">
        <v>-0.83295073232962746</v>
      </c>
      <c r="AN259">
        <v>-0.28996428353239417</v>
      </c>
      <c r="AO259">
        <v>0.56136671655964487</v>
      </c>
      <c r="AP259">
        <v>-1.75471</v>
      </c>
      <c r="AQ259" t="s">
        <v>330</v>
      </c>
      <c r="AR259" t="s">
        <v>330</v>
      </c>
      <c r="AS259">
        <v>-1.75471</v>
      </c>
      <c r="AT259">
        <v>0</v>
      </c>
      <c r="AU259">
        <v>0</v>
      </c>
      <c r="AV259">
        <v>0</v>
      </c>
      <c r="AW259">
        <v>0</v>
      </c>
    </row>
    <row r="260" spans="2:49" ht="15" customHeight="1" x14ac:dyDescent="0.2">
      <c r="B260" t="s">
        <v>848</v>
      </c>
      <c r="C260" t="s">
        <v>849</v>
      </c>
      <c r="N260" t="s">
        <v>89</v>
      </c>
      <c r="O260">
        <v>229.53967801492985</v>
      </c>
      <c r="P260">
        <v>350.24879543293656</v>
      </c>
      <c r="Q260">
        <v>64.485678662438616</v>
      </c>
      <c r="R260" t="s">
        <v>1013</v>
      </c>
      <c r="S260">
        <v>0.95399866845841907</v>
      </c>
      <c r="T260">
        <v>2.1437508782131909</v>
      </c>
      <c r="U260">
        <v>1.8737868589165153E-3</v>
      </c>
      <c r="V260">
        <v>1.3863292902351532</v>
      </c>
      <c r="W260">
        <v>3.2592090874386487E-3</v>
      </c>
      <c r="X260">
        <v>0.20361386820132701</v>
      </c>
      <c r="Y260">
        <v>-0.89759153477416775</v>
      </c>
      <c r="Z260">
        <v>-0.74509727226637923</v>
      </c>
      <c r="AA260">
        <v>2.9127762437277993E-2</v>
      </c>
      <c r="AB260">
        <v>-0.81699251357675828</v>
      </c>
      <c r="AC260">
        <v>148.92752655535472</v>
      </c>
      <c r="AD260">
        <v>459079.35602985969</v>
      </c>
      <c r="AE260">
        <v>71.364142514908281</v>
      </c>
      <c r="AF260">
        <v>91.523125241981916</v>
      </c>
      <c r="AG260">
        <v>138.01655277294793</v>
      </c>
      <c r="AH260">
        <v>224.70436682265583</v>
      </c>
      <c r="AI260">
        <v>6.7119296110197126</v>
      </c>
      <c r="AJ260">
        <v>2.9870217613852748</v>
      </c>
      <c r="AK260">
        <v>1.3303733468788967</v>
      </c>
      <c r="AL260">
        <v>-0.66886753688828327</v>
      </c>
      <c r="AM260">
        <v>-6.7662823284894698</v>
      </c>
      <c r="AN260">
        <v>-0.18182380680021806</v>
      </c>
      <c r="AO260">
        <v>0.28903378643920374</v>
      </c>
      <c r="AP260">
        <v>-22.534254067234578</v>
      </c>
      <c r="AQ260" t="s">
        <v>330</v>
      </c>
      <c r="AR260" t="s">
        <v>330</v>
      </c>
      <c r="AS260">
        <v>-22.534254067234578</v>
      </c>
      <c r="AT260">
        <v>1.8365274506838367</v>
      </c>
      <c r="AU260">
        <v>0</v>
      </c>
      <c r="AV260">
        <v>0</v>
      </c>
      <c r="AW260">
        <v>1.616847826086957</v>
      </c>
    </row>
    <row r="261" spans="2:49" ht="15" customHeight="1" x14ac:dyDescent="0.2">
      <c r="B261" t="s">
        <v>850</v>
      </c>
      <c r="C261" t="s">
        <v>851</v>
      </c>
      <c r="N261" t="s">
        <v>89</v>
      </c>
      <c r="O261">
        <v>140.07454135351693</v>
      </c>
      <c r="P261">
        <v>318.35019061621574</v>
      </c>
      <c r="Q261">
        <v>50.744393249149446</v>
      </c>
      <c r="R261" t="s">
        <v>1013</v>
      </c>
      <c r="S261">
        <v>0.83018229405621791</v>
      </c>
      <c r="T261">
        <v>1.0798468081491235</v>
      </c>
      <c r="U261">
        <v>3.6136820352655695E-3</v>
      </c>
      <c r="V261">
        <v>0.6744863113884535</v>
      </c>
      <c r="W261">
        <v>2.6615717797912656E-3</v>
      </c>
      <c r="X261">
        <v>0.10838214147738354</v>
      </c>
      <c r="Y261">
        <v>-1.6074805572222699</v>
      </c>
      <c r="Z261">
        <v>0</v>
      </c>
      <c r="AA261">
        <v>0.10339122647802786</v>
      </c>
      <c r="AB261">
        <v>-1.6537328083315519</v>
      </c>
      <c r="AC261">
        <v>0</v>
      </c>
      <c r="AD261">
        <v>14007454.135351693</v>
      </c>
      <c r="AE261">
        <v>1.8203756037577939E-2</v>
      </c>
      <c r="AF261">
        <v>85.245354674304721</v>
      </c>
      <c r="AG261">
        <v>54.829186679212206</v>
      </c>
      <c r="AH261">
        <v>130.07345686367998</v>
      </c>
      <c r="AI261">
        <v>12.317543136320012</v>
      </c>
      <c r="AJ261">
        <v>9.4696823113028241</v>
      </c>
      <c r="AK261">
        <v>2.9432286666944774</v>
      </c>
      <c r="AL261">
        <v>-1.2010769414621405</v>
      </c>
      <c r="AM261">
        <v>-2.9650271583518015</v>
      </c>
      <c r="AN261">
        <v>-0.95119944542515389</v>
      </c>
      <c r="AO261">
        <v>0.84350621981876706</v>
      </c>
      <c r="AP261">
        <v>-10.455956</v>
      </c>
      <c r="AQ261" t="s">
        <v>330</v>
      </c>
      <c r="AR261" t="s">
        <v>330</v>
      </c>
      <c r="AS261">
        <v>-10.455956</v>
      </c>
      <c r="AT261">
        <v>0</v>
      </c>
      <c r="AU261">
        <v>0</v>
      </c>
      <c r="AV261">
        <v>0</v>
      </c>
      <c r="AW261">
        <v>0</v>
      </c>
    </row>
    <row r="262" spans="2:49" ht="15" customHeight="1" x14ac:dyDescent="0.2">
      <c r="B262" t="s">
        <v>852</v>
      </c>
      <c r="C262" t="s">
        <v>853</v>
      </c>
      <c r="N262" t="s">
        <v>89</v>
      </c>
      <c r="O262">
        <v>110.35314823859423</v>
      </c>
      <c r="P262" t="s">
        <v>330</v>
      </c>
      <c r="Q262" t="s">
        <v>330</v>
      </c>
      <c r="R262" t="s">
        <v>1013</v>
      </c>
      <c r="S262" t="s">
        <v>330</v>
      </c>
      <c r="T262" t="s">
        <v>330</v>
      </c>
      <c r="U262" t="s">
        <v>330</v>
      </c>
      <c r="V262" t="s">
        <v>330</v>
      </c>
      <c r="W262" t="s">
        <v>330</v>
      </c>
      <c r="X262" t="s">
        <v>330</v>
      </c>
      <c r="Y262" t="s">
        <v>330</v>
      </c>
      <c r="Z262" t="s">
        <v>330</v>
      </c>
      <c r="AA262" t="s">
        <v>330</v>
      </c>
      <c r="AB262">
        <v>1.8442140265849449</v>
      </c>
      <c r="AC262">
        <v>0</v>
      </c>
      <c r="AD262">
        <v>1103.5314823859424</v>
      </c>
      <c r="AE262">
        <v>0.59136021761023028</v>
      </c>
      <c r="AF262">
        <v>99.645121540935804</v>
      </c>
      <c r="AG262">
        <v>10.708026697658443</v>
      </c>
      <c r="AH262">
        <v>109.47215576171875</v>
      </c>
      <c r="AI262">
        <v>-1.154155761718755</v>
      </c>
      <c r="AJ262">
        <v>-1.0542916175241257</v>
      </c>
      <c r="AK262">
        <v>4.3771787963167219E-2</v>
      </c>
      <c r="AL262">
        <v>-8.4733110397792188E-3</v>
      </c>
      <c r="AM262">
        <v>-4.6133860105328495E-2</v>
      </c>
      <c r="AN262">
        <v>5.1373634456705324E-5</v>
      </c>
      <c r="AO262">
        <v>7.678359136124596E-3</v>
      </c>
      <c r="AP262">
        <v>-184.089009</v>
      </c>
      <c r="AQ262" t="s">
        <v>330</v>
      </c>
      <c r="AR262" t="s">
        <v>330</v>
      </c>
      <c r="AS262">
        <v>-184.089009</v>
      </c>
      <c r="AT262">
        <v>0.11540094905740504</v>
      </c>
      <c r="AU262">
        <v>0</v>
      </c>
      <c r="AV262">
        <v>0</v>
      </c>
      <c r="AW262">
        <v>5.694444444444445E-2</v>
      </c>
    </row>
    <row r="263" spans="2:49" ht="15" customHeight="1" x14ac:dyDescent="0.2">
      <c r="B263" t="s">
        <v>854</v>
      </c>
      <c r="C263" t="s">
        <v>855</v>
      </c>
      <c r="N263" t="s">
        <v>89</v>
      </c>
      <c r="O263">
        <v>139.91251668920978</v>
      </c>
      <c r="P263" t="s">
        <v>330</v>
      </c>
      <c r="Q263" t="s">
        <v>330</v>
      </c>
      <c r="R263" t="s">
        <v>1013</v>
      </c>
      <c r="S263" t="s">
        <v>330</v>
      </c>
      <c r="T263" t="s">
        <v>330</v>
      </c>
      <c r="U263" t="s">
        <v>330</v>
      </c>
      <c r="V263" t="s">
        <v>330</v>
      </c>
      <c r="W263" t="s">
        <v>330</v>
      </c>
      <c r="X263" t="s">
        <v>330</v>
      </c>
      <c r="Y263" t="s">
        <v>330</v>
      </c>
      <c r="Z263" t="s">
        <v>330</v>
      </c>
      <c r="AA263" t="s">
        <v>330</v>
      </c>
      <c r="AB263">
        <v>0.36488278625122161</v>
      </c>
      <c r="AC263">
        <v>0</v>
      </c>
      <c r="AD263">
        <v>349781.29172302445</v>
      </c>
      <c r="AE263">
        <v>21.370854380021115</v>
      </c>
      <c r="AF263">
        <v>99.496998472310381</v>
      </c>
      <c r="AG263">
        <v>40.415518216899407</v>
      </c>
      <c r="AH263">
        <v>139.64628643619201</v>
      </c>
      <c r="AI263">
        <v>-0.2442909230154271</v>
      </c>
      <c r="AJ263">
        <v>-0.17493548980122964</v>
      </c>
      <c r="AK263">
        <v>0.12821445131028011</v>
      </c>
      <c r="AL263">
        <v>-1.0395675228210167E-3</v>
      </c>
      <c r="AM263">
        <v>2.5501307104947045E-2</v>
      </c>
      <c r="AN263">
        <v>4.5379508580008884E-6</v>
      </c>
      <c r="AO263">
        <v>7.4301252484095253E-4</v>
      </c>
      <c r="AP263">
        <v>-217.39499699999999</v>
      </c>
      <c r="AQ263" t="s">
        <v>330</v>
      </c>
      <c r="AR263" t="s">
        <v>330</v>
      </c>
      <c r="AS263">
        <v>-217.39499699999999</v>
      </c>
      <c r="AT263">
        <v>1.1656934620737152</v>
      </c>
      <c r="AU263">
        <v>0</v>
      </c>
      <c r="AV263">
        <v>0</v>
      </c>
      <c r="AW263">
        <v>0.5965753424657535</v>
      </c>
    </row>
    <row r="264" spans="2:49" ht="15" customHeight="1" x14ac:dyDescent="0.2">
      <c r="B264" t="s">
        <v>856</v>
      </c>
      <c r="C264" t="s">
        <v>857</v>
      </c>
      <c r="N264" t="s">
        <v>89</v>
      </c>
      <c r="O264">
        <v>103.46639619811211</v>
      </c>
      <c r="P264">
        <v>82.212516630729439</v>
      </c>
      <c r="Q264">
        <v>20.097893413974031</v>
      </c>
      <c r="R264" t="s">
        <v>1013</v>
      </c>
      <c r="S264">
        <v>0.344609430902243</v>
      </c>
      <c r="T264">
        <v>0.24733292849112987</v>
      </c>
      <c r="U264">
        <v>8.3493619855705518E-3</v>
      </c>
      <c r="V264">
        <v>0.69516407760509757</v>
      </c>
      <c r="W264">
        <v>5.6704317686264404E-3</v>
      </c>
      <c r="X264">
        <v>-1.1359005710495682E-2</v>
      </c>
      <c r="Y264">
        <v>-0.97326532631477625</v>
      </c>
      <c r="Z264">
        <v>0</v>
      </c>
      <c r="AA264">
        <v>5.1487987784529204E-2</v>
      </c>
      <c r="AB264">
        <v>1.697552309398185</v>
      </c>
      <c r="AC264">
        <v>0</v>
      </c>
      <c r="AD264">
        <v>1034663.961981121</v>
      </c>
      <c r="AE264">
        <v>6.0919440515056618</v>
      </c>
      <c r="AF264">
        <v>97.335336773428736</v>
      </c>
      <c r="AG264">
        <v>6.1310594246833823</v>
      </c>
      <c r="AH264">
        <v>71.771955817799991</v>
      </c>
      <c r="AI264">
        <v>29.938045193733061</v>
      </c>
      <c r="AJ264">
        <v>41.712734834301813</v>
      </c>
      <c r="AK264">
        <v>6.1159620743819714</v>
      </c>
      <c r="AL264">
        <v>-2.816670315134048</v>
      </c>
      <c r="AM264">
        <v>-4.1684656304171073</v>
      </c>
      <c r="AN264">
        <v>1.3367191808283603</v>
      </c>
      <c r="AO264">
        <v>2.7693150281526382</v>
      </c>
      <c r="AP264">
        <v>1.804316</v>
      </c>
      <c r="AQ264" t="s">
        <v>330</v>
      </c>
      <c r="AR264">
        <v>1.5250999999999999</v>
      </c>
      <c r="AS264">
        <v>1.804316</v>
      </c>
      <c r="AT264">
        <v>0.73739062039130876</v>
      </c>
      <c r="AU264">
        <v>0</v>
      </c>
      <c r="AV264">
        <v>0</v>
      </c>
      <c r="AW264">
        <v>0.30208333333333331</v>
      </c>
    </row>
    <row r="265" spans="2:49" ht="15" customHeight="1" x14ac:dyDescent="0.2">
      <c r="B265" t="s">
        <v>858</v>
      </c>
      <c r="C265" t="s">
        <v>859</v>
      </c>
      <c r="N265" t="s">
        <v>89</v>
      </c>
      <c r="O265">
        <v>102.98427319626592</v>
      </c>
      <c r="P265">
        <v>226.35645681821856</v>
      </c>
      <c r="Q265">
        <v>35.505742779295197</v>
      </c>
      <c r="R265" t="s">
        <v>1013</v>
      </c>
      <c r="S265">
        <v>0.39784920577421079</v>
      </c>
      <c r="T265">
        <v>0.26893288210826216</v>
      </c>
      <c r="U265">
        <v>6.9393878005804734E-3</v>
      </c>
      <c r="V265">
        <v>0.36600868095338229</v>
      </c>
      <c r="W265">
        <v>5.7518033648193525E-3</v>
      </c>
      <c r="X265">
        <v>3.3214977002260282E-2</v>
      </c>
      <c r="Y265">
        <v>-0.47450395836449566</v>
      </c>
      <c r="Z265">
        <v>0</v>
      </c>
      <c r="AA265">
        <v>7.8122441390334779E-2</v>
      </c>
      <c r="AB265">
        <v>0.1255271239517769</v>
      </c>
      <c r="AC265">
        <v>140.91572366897739</v>
      </c>
      <c r="AD265">
        <v>1029.8427319626592</v>
      </c>
      <c r="AE265">
        <v>1.2378893725286075</v>
      </c>
      <c r="AF265">
        <v>96.05401739603343</v>
      </c>
      <c r="AG265">
        <v>6.9302558002324872</v>
      </c>
      <c r="AH265">
        <v>67.596686936931633</v>
      </c>
      <c r="AI265">
        <v>35.258313063068371</v>
      </c>
      <c r="AJ265">
        <v>52.159824187781155</v>
      </c>
      <c r="AK265">
        <v>2.1732151787229093</v>
      </c>
      <c r="AL265">
        <v>-1.6882465507792404</v>
      </c>
      <c r="AM265">
        <v>-2.397499032825408</v>
      </c>
      <c r="AN265">
        <v>4.1755625665154623E-2</v>
      </c>
      <c r="AO265">
        <v>1.6413850087786108</v>
      </c>
      <c r="AP265">
        <v>2.5227240000000002</v>
      </c>
      <c r="AQ265" t="s">
        <v>330</v>
      </c>
      <c r="AR265" t="s">
        <v>330</v>
      </c>
      <c r="AS265">
        <v>2.5227240000000002</v>
      </c>
      <c r="AT265">
        <v>3.6459092897768697</v>
      </c>
      <c r="AU265">
        <v>0</v>
      </c>
      <c r="AV265">
        <v>0</v>
      </c>
      <c r="AW265">
        <v>0.3125</v>
      </c>
    </row>
    <row r="266" spans="2:49" ht="15" customHeight="1" x14ac:dyDescent="0.2">
      <c r="B266" t="s">
        <v>860</v>
      </c>
      <c r="C266" t="s">
        <v>861</v>
      </c>
      <c r="N266" t="s">
        <v>89</v>
      </c>
      <c r="O266">
        <v>108.52202946580643</v>
      </c>
      <c r="P266">
        <v>419.568935384979</v>
      </c>
      <c r="Q266">
        <v>67.097112153946341</v>
      </c>
      <c r="R266" t="s">
        <v>1013</v>
      </c>
      <c r="S266">
        <v>0.58443075067630557</v>
      </c>
      <c r="T266">
        <v>0.38003350146648296</v>
      </c>
      <c r="U266">
        <v>3.4780372480525809E-3</v>
      </c>
      <c r="V266">
        <v>0.34348455479051837</v>
      </c>
      <c r="W266">
        <v>2.3186013630720481E-3</v>
      </c>
      <c r="X266">
        <v>0</v>
      </c>
      <c r="Y266">
        <v>-0.61111790504097652</v>
      </c>
      <c r="Z266">
        <v>0</v>
      </c>
      <c r="AA266">
        <v>0.16069161981504482</v>
      </c>
      <c r="AB266">
        <v>0.4819569523174364</v>
      </c>
      <c r="AC266">
        <v>150.88677032936414</v>
      </c>
      <c r="AD266">
        <v>1085.2202946580642</v>
      </c>
      <c r="AE266">
        <v>0.70039357194256024</v>
      </c>
      <c r="AF266">
        <v>88.703359013935469</v>
      </c>
      <c r="AG266">
        <v>19.818670451870958</v>
      </c>
      <c r="AH266">
        <v>65.026267188491829</v>
      </c>
      <c r="AI266">
        <v>42.972732811508166</v>
      </c>
      <c r="AJ266">
        <v>66.085190907457417</v>
      </c>
      <c r="AK266">
        <v>2.6041883134554658</v>
      </c>
      <c r="AL266">
        <v>-1.9563137251565195</v>
      </c>
      <c r="AM266">
        <v>-2.6471546153659347</v>
      </c>
      <c r="AN266">
        <v>0.13292906065946075</v>
      </c>
      <c r="AO266">
        <v>1.8114183697594601</v>
      </c>
      <c r="AP266">
        <v>1.0798179999999999</v>
      </c>
      <c r="AQ266" t="s">
        <v>330</v>
      </c>
      <c r="AR266" t="s">
        <v>330</v>
      </c>
      <c r="AS266">
        <v>1.0798179999999999</v>
      </c>
      <c r="AT266">
        <v>3.2407707478772951</v>
      </c>
      <c r="AU266">
        <v>12.277923660430906</v>
      </c>
      <c r="AV266">
        <v>12.277923660430906</v>
      </c>
      <c r="AW266">
        <v>0.42777777777777776</v>
      </c>
    </row>
    <row r="267" spans="2:49" ht="15" customHeight="1" x14ac:dyDescent="0.2">
      <c r="B267" t="s">
        <v>862</v>
      </c>
      <c r="C267" t="s">
        <v>863</v>
      </c>
      <c r="N267" t="s">
        <v>89</v>
      </c>
      <c r="O267">
        <v>96.379773562915901</v>
      </c>
      <c r="P267">
        <v>294.93229251354575</v>
      </c>
      <c r="Q267">
        <v>105.53655528869055</v>
      </c>
      <c r="R267" t="s">
        <v>1013</v>
      </c>
      <c r="S267">
        <v>1.8075982574807081E-2</v>
      </c>
      <c r="T267">
        <v>4.9742572685269318E-3</v>
      </c>
      <c r="U267">
        <v>8.2893867463994101E-4</v>
      </c>
      <c r="V267">
        <v>8.7064388451399289E-3</v>
      </c>
      <c r="W267">
        <v>1.7910805662992062E-2</v>
      </c>
      <c r="X267">
        <v>-1.088124513557835E-5</v>
      </c>
      <c r="Y267">
        <v>-8.236843743094871E-3</v>
      </c>
      <c r="Z267">
        <v>0</v>
      </c>
      <c r="AA267">
        <v>2.7082820049908436E-2</v>
      </c>
      <c r="AB267">
        <v>-0.6767254300077058</v>
      </c>
      <c r="AC267">
        <v>152.59029864797006</v>
      </c>
      <c r="AD267">
        <v>96379.7735629159</v>
      </c>
      <c r="AE267">
        <v>7.7356593088937858E-2</v>
      </c>
      <c r="AF267">
        <v>96.637829078745284</v>
      </c>
      <c r="AG267">
        <v>-0.25805551582938641</v>
      </c>
      <c r="AH267">
        <v>27.518599599999998</v>
      </c>
      <c r="AI267">
        <v>69.513400399999995</v>
      </c>
      <c r="AJ267">
        <v>252.60515218950314</v>
      </c>
      <c r="AK267">
        <v>0.54591797160995714</v>
      </c>
      <c r="AL267">
        <v>-0.51846477599203356</v>
      </c>
      <c r="AM267">
        <v>-0.6737828276268556</v>
      </c>
      <c r="AN267">
        <v>-1.1316367875622304</v>
      </c>
      <c r="AO267">
        <v>0.53432349739470852</v>
      </c>
      <c r="AP267">
        <v>7.1517477177683881</v>
      </c>
      <c r="AQ267" t="s">
        <v>330</v>
      </c>
      <c r="AR267" t="s">
        <v>330</v>
      </c>
      <c r="AS267">
        <v>7.1517480000000004</v>
      </c>
      <c r="AT267">
        <v>1.67470525187567</v>
      </c>
      <c r="AU267">
        <v>0</v>
      </c>
      <c r="AV267">
        <v>0</v>
      </c>
      <c r="AW267">
        <v>0.7109375</v>
      </c>
    </row>
    <row r="268" spans="2:49" ht="15" customHeight="1" x14ac:dyDescent="0.2">
      <c r="B268" t="s">
        <v>864</v>
      </c>
      <c r="C268" t="s">
        <v>865</v>
      </c>
      <c r="N268" t="s">
        <v>89</v>
      </c>
      <c r="O268">
        <v>84.540570394209013</v>
      </c>
      <c r="P268">
        <v>318.95906423240973</v>
      </c>
      <c r="Q268">
        <v>83.978207383475009</v>
      </c>
      <c r="R268" t="s">
        <v>1013</v>
      </c>
      <c r="S268">
        <v>0.52773139248404466</v>
      </c>
      <c r="T268">
        <v>0.18903188325438544</v>
      </c>
      <c r="U268">
        <v>2.6164818489349639E-3</v>
      </c>
      <c r="V268">
        <v>0.21845803825621032</v>
      </c>
      <c r="W268">
        <v>7.2737078909653977E-3</v>
      </c>
      <c r="X268">
        <v>0</v>
      </c>
      <c r="Y268">
        <v>-0.52985006356981057</v>
      </c>
      <c r="Z268">
        <v>0</v>
      </c>
      <c r="AA268">
        <v>0.21296811283074205</v>
      </c>
      <c r="AB268">
        <v>-3.057028825024386</v>
      </c>
      <c r="AC268">
        <v>151.79578655406388</v>
      </c>
      <c r="AD268">
        <v>845.40570394209021</v>
      </c>
      <c r="AE268">
        <v>2.3792309203668216</v>
      </c>
      <c r="AF268">
        <v>73.897231899044598</v>
      </c>
      <c r="AG268">
        <v>10.643338495164414</v>
      </c>
      <c r="AH268">
        <v>35.819715473928454</v>
      </c>
      <c r="AI268">
        <v>51.287251993150711</v>
      </c>
      <c r="AJ268">
        <v>143.10958373653591</v>
      </c>
      <c r="AK268">
        <v>3.7495960205792676</v>
      </c>
      <c r="AL268">
        <v>-2.7520373857756226</v>
      </c>
      <c r="AM268">
        <v>-3.2772707998033184</v>
      </c>
      <c r="AN268">
        <v>0.19272508661523829</v>
      </c>
      <c r="AO268">
        <v>3.1587229678916757</v>
      </c>
      <c r="AP268">
        <v>3.598125</v>
      </c>
      <c r="AQ268" t="s">
        <v>330</v>
      </c>
      <c r="AR268" t="s">
        <v>330</v>
      </c>
      <c r="AS268">
        <v>3.598125</v>
      </c>
      <c r="AT268">
        <v>0.57388809182209466</v>
      </c>
      <c r="AU268">
        <v>102.61056905214309</v>
      </c>
      <c r="AV268">
        <v>102.61056905214309</v>
      </c>
      <c r="AW268">
        <v>0.2277777777777778</v>
      </c>
    </row>
    <row r="269" spans="2:49" ht="15" customHeight="1" x14ac:dyDescent="0.2">
      <c r="B269" t="s">
        <v>866</v>
      </c>
      <c r="C269" t="s">
        <v>867</v>
      </c>
      <c r="N269" t="s">
        <v>89</v>
      </c>
      <c r="O269">
        <v>83.947002439252046</v>
      </c>
      <c r="P269">
        <v>137.16020263256493</v>
      </c>
      <c r="Q269" t="s">
        <v>330</v>
      </c>
      <c r="R269" t="s">
        <v>1013</v>
      </c>
      <c r="S269">
        <v>8.4379064316368352E-2</v>
      </c>
      <c r="T269">
        <v>1.1899050093479285E-2</v>
      </c>
      <c r="U269">
        <v>1.4931839241095765E-3</v>
      </c>
      <c r="V269">
        <v>3.1739167876361309E-2</v>
      </c>
      <c r="W269">
        <v>1.2747211115777191E-2</v>
      </c>
      <c r="X269">
        <v>0</v>
      </c>
      <c r="Y269">
        <v>-2.6518951926868813E-2</v>
      </c>
      <c r="Z269">
        <v>0</v>
      </c>
      <c r="AA269">
        <v>5.6281708795901005E-2</v>
      </c>
      <c r="AB269">
        <v>-7.1020970225379276</v>
      </c>
      <c r="AC269">
        <v>150.03222760507094</v>
      </c>
      <c r="AD269">
        <v>839.47002439252037</v>
      </c>
      <c r="AE269">
        <v>0.14976590269575796</v>
      </c>
      <c r="AF269">
        <v>84.500691236146025</v>
      </c>
      <c r="AG269">
        <v>-0.5536887968939822</v>
      </c>
      <c r="AH269">
        <v>14.101898604688646</v>
      </c>
      <c r="AI269">
        <v>75.800002149896628</v>
      </c>
      <c r="AJ269">
        <v>537.245826778131</v>
      </c>
      <c r="AK269">
        <v>2.3086484379595773</v>
      </c>
      <c r="AL269">
        <v>-2.0423426206480713</v>
      </c>
      <c r="AM269">
        <v>-2.3837911960393967</v>
      </c>
      <c r="AN269">
        <v>8.3506678446334193E-2</v>
      </c>
      <c r="AO269">
        <v>2.2715663845088603</v>
      </c>
      <c r="AP269">
        <v>4.6626645799693085</v>
      </c>
      <c r="AQ269" t="s">
        <v>330</v>
      </c>
      <c r="AR269" t="s">
        <v>330</v>
      </c>
      <c r="AS269">
        <v>4.6626649999999996</v>
      </c>
      <c r="AT269">
        <v>0.13902946312382519</v>
      </c>
      <c r="AU269">
        <v>606.45681116249091</v>
      </c>
      <c r="AV269">
        <v>606.45681116249091</v>
      </c>
      <c r="AW269">
        <v>1.5277777777777777E-2</v>
      </c>
    </row>
    <row r="270" spans="2:49" ht="15" customHeight="1" x14ac:dyDescent="0.2">
      <c r="B270" t="s">
        <v>868</v>
      </c>
      <c r="C270" t="s">
        <v>869</v>
      </c>
      <c r="N270" t="s">
        <v>89</v>
      </c>
      <c r="O270">
        <v>118.6743060330578</v>
      </c>
      <c r="P270" t="s">
        <v>330</v>
      </c>
      <c r="Q270" t="s">
        <v>330</v>
      </c>
      <c r="R270" t="s">
        <v>1013</v>
      </c>
      <c r="S270" t="s">
        <v>330</v>
      </c>
      <c r="T270" t="s">
        <v>330</v>
      </c>
      <c r="U270" t="s">
        <v>330</v>
      </c>
      <c r="V270" t="s">
        <v>330</v>
      </c>
      <c r="W270" t="s">
        <v>330</v>
      </c>
      <c r="X270" t="s">
        <v>330</v>
      </c>
      <c r="Y270" t="s">
        <v>330</v>
      </c>
      <c r="Z270" t="s">
        <v>330</v>
      </c>
      <c r="AA270" t="s">
        <v>330</v>
      </c>
      <c r="AB270">
        <v>0.38787337246325926</v>
      </c>
      <c r="AC270">
        <v>0</v>
      </c>
      <c r="AD270">
        <v>1186.7430603305779</v>
      </c>
      <c r="AE270">
        <v>1.1902600605556317</v>
      </c>
      <c r="AF270">
        <v>99.891968830977291</v>
      </c>
      <c r="AG270">
        <v>18.782337202080509</v>
      </c>
      <c r="AH270">
        <v>118.32079181632996</v>
      </c>
      <c r="AI270">
        <v>-0.10679181632995949</v>
      </c>
      <c r="AJ270">
        <v>-9.0256171118033968E-2</v>
      </c>
      <c r="AK270">
        <v>9.0385050512385615E-2</v>
      </c>
      <c r="AL270">
        <v>-1.5270941721610143E-3</v>
      </c>
      <c r="AM270">
        <v>2.5406637451169445E-2</v>
      </c>
      <c r="AN270">
        <v>2.8953237667361128E-6</v>
      </c>
      <c r="AO270">
        <v>1.2867942718246261E-3</v>
      </c>
      <c r="AP270">
        <v>-89.746046000000007</v>
      </c>
      <c r="AQ270" t="s">
        <v>330</v>
      </c>
      <c r="AR270" t="s">
        <v>330</v>
      </c>
      <c r="AS270">
        <v>-89.746046000000007</v>
      </c>
      <c r="AT270">
        <v>3.2779535418816725</v>
      </c>
      <c r="AU270">
        <v>0</v>
      </c>
      <c r="AV270">
        <v>0</v>
      </c>
      <c r="AW270">
        <v>1.2916666666666667</v>
      </c>
    </row>
    <row r="271" spans="2:49" ht="15" customHeight="1" x14ac:dyDescent="0.2">
      <c r="B271" t="s">
        <v>317</v>
      </c>
      <c r="C271" t="s">
        <v>356</v>
      </c>
      <c r="N271" t="s">
        <v>89</v>
      </c>
      <c r="O271">
        <v>115.54898003054781</v>
      </c>
      <c r="P271">
        <v>78.642768858802</v>
      </c>
      <c r="Q271">
        <v>17.901270406317423</v>
      </c>
      <c r="R271" t="s">
        <v>1013</v>
      </c>
      <c r="S271">
        <v>0.71093834403093392</v>
      </c>
      <c r="T271">
        <v>0.76441804808060465</v>
      </c>
      <c r="U271">
        <v>1.5974295760374381E-2</v>
      </c>
      <c r="V271">
        <v>0.4846134088636404</v>
      </c>
      <c r="W271">
        <v>-1.7160336125698449E-3</v>
      </c>
      <c r="X271">
        <v>0.65717724747263784</v>
      </c>
      <c r="Y271">
        <v>-0.93840535815992943</v>
      </c>
      <c r="Z271">
        <v>0</v>
      </c>
      <c r="AA271">
        <v>1.7745197996928679E-2</v>
      </c>
      <c r="AB271">
        <v>0.61444075954639588</v>
      </c>
      <c r="AC271">
        <v>0</v>
      </c>
      <c r="AD271">
        <v>1155.4898003054782</v>
      </c>
      <c r="AE271">
        <v>0.76878202956323383</v>
      </c>
      <c r="AF271">
        <v>101.18763359336812</v>
      </c>
      <c r="AG271">
        <v>14.361346437179689</v>
      </c>
      <c r="AH271">
        <v>107.51700565048219</v>
      </c>
      <c r="AI271">
        <v>7.3219943495178086</v>
      </c>
      <c r="AJ271">
        <v>6.8100802335588213</v>
      </c>
      <c r="AK271">
        <v>1.5970083706853153</v>
      </c>
      <c r="AL271">
        <v>-0.67661854242282971</v>
      </c>
      <c r="AM271">
        <v>-1.8638753059526607</v>
      </c>
      <c r="AN271">
        <v>-1.4382612302841512E-2</v>
      </c>
      <c r="AO271">
        <v>0.58918881427287739</v>
      </c>
      <c r="AP271">
        <v>-4.0296159999999999</v>
      </c>
      <c r="AQ271" t="s">
        <v>330</v>
      </c>
      <c r="AR271" t="s">
        <v>330</v>
      </c>
      <c r="AS271">
        <v>-4.0296159999999999</v>
      </c>
      <c r="AT271">
        <v>3.9185294194480966</v>
      </c>
      <c r="AU271">
        <v>9.0688141600948722</v>
      </c>
      <c r="AV271">
        <v>7.0803982589903889</v>
      </c>
      <c r="AW271">
        <v>1.5</v>
      </c>
    </row>
    <row r="272" spans="2:49" ht="15" customHeight="1" x14ac:dyDescent="0.2">
      <c r="B272" t="s">
        <v>870</v>
      </c>
      <c r="C272" t="s">
        <v>871</v>
      </c>
      <c r="N272" t="s">
        <v>89</v>
      </c>
      <c r="O272">
        <v>97.99902626561358</v>
      </c>
      <c r="P272">
        <v>521.64812408568855</v>
      </c>
      <c r="Q272">
        <v>38.578564378645062</v>
      </c>
      <c r="R272" t="s">
        <v>1013</v>
      </c>
      <c r="S272">
        <v>0.25547137344899579</v>
      </c>
      <c r="T272">
        <v>0.14106836783042329</v>
      </c>
      <c r="U272">
        <v>6.2193563309902887E-3</v>
      </c>
      <c r="V272">
        <v>0.22526469903734514</v>
      </c>
      <c r="W272">
        <v>3.6167540492117404E-3</v>
      </c>
      <c r="X272">
        <v>0</v>
      </c>
      <c r="Y272">
        <v>-0.24780174863293897</v>
      </c>
      <c r="Z272">
        <v>0</v>
      </c>
      <c r="AA272">
        <v>0.12113234393039796</v>
      </c>
      <c r="AB272">
        <v>1.866371876651332</v>
      </c>
      <c r="AC272">
        <v>144.34582365066743</v>
      </c>
      <c r="AD272">
        <v>9799902.6265613586</v>
      </c>
      <c r="AE272">
        <v>1.4336216242929198E-2</v>
      </c>
      <c r="AF272">
        <v>94.933328850841988</v>
      </c>
      <c r="AG272">
        <v>3.0656974147715976</v>
      </c>
      <c r="AH272">
        <v>55.218855218855765</v>
      </c>
      <c r="AI272">
        <v>40.951144781144237</v>
      </c>
      <c r="AJ272">
        <v>74.161524390242178</v>
      </c>
      <c r="AK272">
        <v>2.6088328464947095</v>
      </c>
      <c r="AL272">
        <v>-1.0946288661538623</v>
      </c>
      <c r="AM272">
        <v>-1.4330396438289434</v>
      </c>
      <c r="AN272">
        <v>6.2644098141782192E-2</v>
      </c>
      <c r="AO272">
        <v>1.1382227993697227</v>
      </c>
      <c r="AP272">
        <v>1.494731</v>
      </c>
      <c r="AQ272" t="s">
        <v>330</v>
      </c>
      <c r="AR272">
        <v>3.6552220000000002</v>
      </c>
      <c r="AS272">
        <v>3.6552220000000002</v>
      </c>
      <c r="AT272">
        <v>0.25995632733700741</v>
      </c>
      <c r="AU272">
        <v>163.80457912457695</v>
      </c>
      <c r="AV272">
        <v>163.80457912457695</v>
      </c>
      <c r="AW272">
        <v>8.4246575342465754E-2</v>
      </c>
    </row>
    <row r="273" spans="2:49" ht="15" customHeight="1" x14ac:dyDescent="0.2">
      <c r="B273" t="s">
        <v>872</v>
      </c>
      <c r="C273" t="s">
        <v>873</v>
      </c>
      <c r="N273" t="s">
        <v>89</v>
      </c>
      <c r="O273">
        <v>91.63905499537529</v>
      </c>
      <c r="P273">
        <v>365.70754387678028</v>
      </c>
      <c r="Q273">
        <v>55.241811643821201</v>
      </c>
      <c r="R273" t="s">
        <v>1013</v>
      </c>
      <c r="S273">
        <v>0.34366791502212424</v>
      </c>
      <c r="T273">
        <v>0.14468848335592016</v>
      </c>
      <c r="U273">
        <v>4.1969243006968167E-3</v>
      </c>
      <c r="V273">
        <v>0.24311003414309768</v>
      </c>
      <c r="W273">
        <v>1.1469684748703912E-2</v>
      </c>
      <c r="X273">
        <v>7.3191038817008086E-2</v>
      </c>
      <c r="Y273">
        <v>-0.35786919955754343</v>
      </c>
      <c r="Z273">
        <v>0</v>
      </c>
      <c r="AA273">
        <v>0.19381145718289056</v>
      </c>
      <c r="AB273">
        <v>-1.171929375176231</v>
      </c>
      <c r="AC273">
        <v>145.4858538746096</v>
      </c>
      <c r="AD273">
        <v>916.39054995375295</v>
      </c>
      <c r="AE273">
        <v>0.28259435057567966</v>
      </c>
      <c r="AF273">
        <v>87.557189734230789</v>
      </c>
      <c r="AG273">
        <v>4.081865261144503</v>
      </c>
      <c r="AH273">
        <v>42.101248627357492</v>
      </c>
      <c r="AI273">
        <v>50.611751372642502</v>
      </c>
      <c r="AJ273">
        <v>120.21437136131603</v>
      </c>
      <c r="AK273">
        <v>3.1207437755265297</v>
      </c>
      <c r="AL273">
        <v>-2.5147757516349998</v>
      </c>
      <c r="AM273">
        <v>-3.1503895114582292</v>
      </c>
      <c r="AN273">
        <v>0.2456983977032941</v>
      </c>
      <c r="AO273">
        <v>2.7124305670564</v>
      </c>
      <c r="AP273">
        <v>5.6237430000000002</v>
      </c>
      <c r="AQ273" t="s">
        <v>330</v>
      </c>
      <c r="AR273" t="s">
        <v>330</v>
      </c>
      <c r="AS273">
        <v>5.6237430000000002</v>
      </c>
      <c r="AT273">
        <v>3.640266197836334</v>
      </c>
      <c r="AU273">
        <v>0</v>
      </c>
      <c r="AV273">
        <v>28.933958403359981</v>
      </c>
      <c r="AW273">
        <v>1.2562500000000001</v>
      </c>
    </row>
    <row r="274" spans="2:49" ht="15" customHeight="1" x14ac:dyDescent="0.2">
      <c r="B274" t="s">
        <v>874</v>
      </c>
      <c r="C274" t="s">
        <v>875</v>
      </c>
      <c r="N274" t="s">
        <v>89</v>
      </c>
      <c r="O274">
        <v>122.69030454481597</v>
      </c>
      <c r="P274">
        <v>129.49740562382109</v>
      </c>
      <c r="Q274">
        <v>18.446676993742255</v>
      </c>
      <c r="R274" t="s">
        <v>1013</v>
      </c>
      <c r="S274">
        <v>0.90861622936660857</v>
      </c>
      <c r="T274">
        <v>1.1050010002289286</v>
      </c>
      <c r="U274">
        <v>1.3096776723660251E-2</v>
      </c>
      <c r="V274">
        <v>0.2233037838447417</v>
      </c>
      <c r="W274">
        <v>-3.4046545616292861E-3</v>
      </c>
      <c r="X274">
        <v>-7.0288695206364799E-2</v>
      </c>
      <c r="Y274">
        <v>-0.19766676855958956</v>
      </c>
      <c r="Z274">
        <v>0</v>
      </c>
      <c r="AA274">
        <v>6.4514588264765887E-3</v>
      </c>
      <c r="AB274">
        <v>0.31975187140616423</v>
      </c>
      <c r="AC274">
        <v>0</v>
      </c>
      <c r="AD274">
        <v>122690.30454481598</v>
      </c>
      <c r="AE274">
        <v>3.3575212090220021</v>
      </c>
      <c r="AF274">
        <v>100.88164072395489</v>
      </c>
      <c r="AG274">
        <v>21.808663820861096</v>
      </c>
      <c r="AH274">
        <v>121.61361029168701</v>
      </c>
      <c r="AI274">
        <v>0.68438970831299173</v>
      </c>
      <c r="AJ274">
        <v>0.56275749619758941</v>
      </c>
      <c r="AK274">
        <v>0.36333322582740635</v>
      </c>
      <c r="AL274">
        <v>-0.1179407386607636</v>
      </c>
      <c r="AM274">
        <v>-0.42202150546392658</v>
      </c>
      <c r="AN274">
        <v>0.6669674634515389</v>
      </c>
      <c r="AO274">
        <v>9.6437176945464026E-2</v>
      </c>
      <c r="AP274">
        <v>-14.828663834341244</v>
      </c>
      <c r="AQ274" t="s">
        <v>330</v>
      </c>
      <c r="AR274" t="s">
        <v>330</v>
      </c>
      <c r="AS274">
        <v>-14.828663834341244</v>
      </c>
      <c r="AT274">
        <v>2.8618620091906655</v>
      </c>
      <c r="AU274">
        <v>0</v>
      </c>
      <c r="AV274">
        <v>0</v>
      </c>
      <c r="AW274">
        <v>1.4646739130434785</v>
      </c>
    </row>
    <row r="275" spans="2:49" ht="15" customHeight="1" x14ac:dyDescent="0.2">
      <c r="B275" t="s">
        <v>318</v>
      </c>
      <c r="C275" t="s">
        <v>357</v>
      </c>
      <c r="N275" t="s">
        <v>89</v>
      </c>
      <c r="O275">
        <v>146.66205414515491</v>
      </c>
      <c r="P275">
        <v>166.1111784500921</v>
      </c>
      <c r="Q275">
        <v>45.156585624393045</v>
      </c>
      <c r="R275" t="s">
        <v>1013</v>
      </c>
      <c r="S275">
        <v>0.90196386196071399</v>
      </c>
      <c r="T275">
        <v>1.3131566608976977</v>
      </c>
      <c r="U275">
        <v>5.840510082578858E-3</v>
      </c>
      <c r="V275">
        <v>0.74984055375236491</v>
      </c>
      <c r="W275">
        <v>1.0342016950307879E-3</v>
      </c>
      <c r="X275">
        <v>9.5520383369027365E-2</v>
      </c>
      <c r="Y275">
        <v>-0.66063069263862462</v>
      </c>
      <c r="Z275">
        <v>0</v>
      </c>
      <c r="AA275">
        <v>1.9098033970512639E-2</v>
      </c>
      <c r="AB275">
        <v>-0.97976662281226368</v>
      </c>
      <c r="AC275">
        <v>145.67231497381454</v>
      </c>
      <c r="AD275">
        <v>146662.05414515492</v>
      </c>
      <c r="AE275">
        <v>2.7987133928603214</v>
      </c>
      <c r="AF275">
        <v>91.387873059614336</v>
      </c>
      <c r="AG275">
        <v>55.274181085540576</v>
      </c>
      <c r="AH275">
        <v>145.58861128239897</v>
      </c>
      <c r="AI275">
        <v>2.5133887176010319</v>
      </c>
      <c r="AJ275">
        <v>1.7263635496363099</v>
      </c>
      <c r="AK275">
        <v>1.0556264425229889</v>
      </c>
      <c r="AL275">
        <v>-0.53401526129295229</v>
      </c>
      <c r="AM275">
        <v>-3.0553635123756249</v>
      </c>
      <c r="AN275">
        <v>3.2594227777909865E-2</v>
      </c>
      <c r="AO275">
        <v>0.36057992376245107</v>
      </c>
      <c r="AP275">
        <v>-15.130137039417939</v>
      </c>
      <c r="AQ275" t="s">
        <v>330</v>
      </c>
      <c r="AR275" t="s">
        <v>330</v>
      </c>
      <c r="AS275">
        <v>-15.130137039417939</v>
      </c>
      <c r="AT275">
        <v>1.350448011127692</v>
      </c>
      <c r="AU275">
        <v>0</v>
      </c>
      <c r="AV275">
        <v>0</v>
      </c>
      <c r="AW275">
        <v>0.48913043478260876</v>
      </c>
    </row>
    <row r="276" spans="2:49" ht="15" customHeight="1" x14ac:dyDescent="0.2">
      <c r="B276" t="s">
        <v>876</v>
      </c>
      <c r="C276" t="s">
        <v>877</v>
      </c>
      <c r="N276" t="s">
        <v>89</v>
      </c>
      <c r="O276">
        <v>142.75683089296365</v>
      </c>
      <c r="P276" t="s">
        <v>330</v>
      </c>
      <c r="Q276">
        <v>42.205705172454415</v>
      </c>
      <c r="R276" t="s">
        <v>1013</v>
      </c>
      <c r="S276" t="s">
        <v>330</v>
      </c>
      <c r="T276" t="s">
        <v>330</v>
      </c>
      <c r="U276" t="s">
        <v>330</v>
      </c>
      <c r="V276" t="s">
        <v>330</v>
      </c>
      <c r="W276" t="s">
        <v>330</v>
      </c>
      <c r="X276" t="s">
        <v>330</v>
      </c>
      <c r="Y276" t="s">
        <v>330</v>
      </c>
      <c r="Z276" t="s">
        <v>330</v>
      </c>
      <c r="AA276" t="s">
        <v>330</v>
      </c>
      <c r="AB276">
        <v>-3.6615894835572469</v>
      </c>
      <c r="AC276">
        <v>140.23534250162476</v>
      </c>
      <c r="AD276">
        <v>142756.83089296366</v>
      </c>
      <c r="AE276">
        <v>41.61511758873651</v>
      </c>
      <c r="AF276">
        <v>98.198311862940173</v>
      </c>
      <c r="AG276">
        <v>44.558519030023469</v>
      </c>
      <c r="AH276">
        <v>125.72574524519371</v>
      </c>
      <c r="AI276">
        <v>22.263254754806297</v>
      </c>
      <c r="AJ276">
        <v>17.707793031083572</v>
      </c>
      <c r="AK276">
        <v>2.767873493400216</v>
      </c>
      <c r="AL276">
        <v>-1.7022238557841047</v>
      </c>
      <c r="AM276">
        <v>-3.2562415228763713</v>
      </c>
      <c r="AN276">
        <v>0.12931646844003636</v>
      </c>
      <c r="AO276">
        <v>1.1923939787234417</v>
      </c>
      <c r="AP276">
        <v>-7.4868967590213806</v>
      </c>
      <c r="AQ276" t="s">
        <v>330</v>
      </c>
      <c r="AR276" t="s">
        <v>330</v>
      </c>
      <c r="AS276">
        <v>-7.4868967590213806</v>
      </c>
      <c r="AT276">
        <v>1.9427775975781165</v>
      </c>
      <c r="AU276">
        <v>0</v>
      </c>
      <c r="AV276">
        <v>0</v>
      </c>
      <c r="AW276">
        <v>0.27002762430939226</v>
      </c>
    </row>
    <row r="277" spans="2:49" ht="15" customHeight="1" x14ac:dyDescent="0.2">
      <c r="B277" t="s">
        <v>319</v>
      </c>
      <c r="C277" t="s">
        <v>358</v>
      </c>
      <c r="N277" t="s">
        <v>89</v>
      </c>
      <c r="O277">
        <v>133.09865470992668</v>
      </c>
      <c r="P277" t="s">
        <v>330</v>
      </c>
      <c r="Q277" t="s">
        <v>330</v>
      </c>
      <c r="R277" t="s">
        <v>1013</v>
      </c>
      <c r="S277" t="s">
        <v>330</v>
      </c>
      <c r="T277" t="s">
        <v>330</v>
      </c>
      <c r="U277" t="s">
        <v>330</v>
      </c>
      <c r="V277" t="s">
        <v>330</v>
      </c>
      <c r="W277" t="s">
        <v>330</v>
      </c>
      <c r="X277" t="s">
        <v>330</v>
      </c>
      <c r="Y277" t="s">
        <v>330</v>
      </c>
      <c r="Z277" t="s">
        <v>330</v>
      </c>
      <c r="AA277" t="s">
        <v>330</v>
      </c>
      <c r="AB277">
        <v>-2.0506182395469152</v>
      </c>
      <c r="AC277">
        <v>144.02671315715659</v>
      </c>
      <c r="AD277">
        <v>1330.986547099267</v>
      </c>
      <c r="AE277">
        <v>0.18723500296176082</v>
      </c>
      <c r="AF277">
        <v>96.838548121198556</v>
      </c>
      <c r="AG277">
        <v>36.260106588728135</v>
      </c>
      <c r="AH277">
        <v>132.327675</v>
      </c>
      <c r="AI277">
        <v>3.5003250000000037</v>
      </c>
      <c r="AJ277">
        <v>2.6451949677193403</v>
      </c>
      <c r="AK277">
        <v>0.40539437805510403</v>
      </c>
      <c r="AL277">
        <v>-4.4765007762180176E-2</v>
      </c>
      <c r="AM277">
        <v>-0.22210650581041591</v>
      </c>
      <c r="AN277">
        <v>1.2748785557352346E-3</v>
      </c>
      <c r="AO277">
        <v>3.3632952834677703E-2</v>
      </c>
      <c r="AP277">
        <v>-63.730817999999999</v>
      </c>
      <c r="AQ277" t="s">
        <v>330</v>
      </c>
      <c r="AR277" t="s">
        <v>330</v>
      </c>
      <c r="AS277">
        <v>-63.730817999999999</v>
      </c>
      <c r="AT277">
        <v>0</v>
      </c>
      <c r="AU277">
        <v>0</v>
      </c>
      <c r="AV277">
        <v>0</v>
      </c>
      <c r="AW277">
        <v>0</v>
      </c>
    </row>
    <row r="278" spans="2:49" ht="15" customHeight="1" x14ac:dyDescent="0.2">
      <c r="B278" t="s">
        <v>878</v>
      </c>
      <c r="C278" t="s">
        <v>879</v>
      </c>
      <c r="N278" t="s">
        <v>89</v>
      </c>
      <c r="O278">
        <v>149.70827303221259</v>
      </c>
      <c r="P278">
        <v>173.31261093793734</v>
      </c>
      <c r="Q278">
        <v>40.425123817967858</v>
      </c>
      <c r="R278" t="s">
        <v>1013</v>
      </c>
      <c r="S278">
        <v>0.93675191697775162</v>
      </c>
      <c r="T278">
        <v>1.4039093861601935</v>
      </c>
      <c r="U278">
        <v>4.4330273865948282E-3</v>
      </c>
      <c r="V278">
        <v>0.29333687251812079</v>
      </c>
      <c r="W278">
        <v>1.8731626636581495E-3</v>
      </c>
      <c r="X278">
        <v>-5.1416595384226769E-3</v>
      </c>
      <c r="Y278">
        <v>-0.48394954073860613</v>
      </c>
      <c r="Z278">
        <v>0</v>
      </c>
      <c r="AA278">
        <v>1.9828048801138736E-2</v>
      </c>
      <c r="AB278">
        <v>-0.75795875859395079</v>
      </c>
      <c r="AC278">
        <v>138.52651548421076</v>
      </c>
      <c r="AD278">
        <v>149708.2730322126</v>
      </c>
      <c r="AE278">
        <v>16.762635404165358</v>
      </c>
      <c r="AF278">
        <v>92.182999801429716</v>
      </c>
      <c r="AG278">
        <v>57.525273230782879</v>
      </c>
      <c r="AH278">
        <v>149.86992401250001</v>
      </c>
      <c r="AI278">
        <v>0.97307598749998192</v>
      </c>
      <c r="AJ278">
        <v>0.6492803635630201</v>
      </c>
      <c r="AK278">
        <v>0.7638323998689126</v>
      </c>
      <c r="AL278">
        <v>-0.31009028664833749</v>
      </c>
      <c r="AM278">
        <v>-1.2405795146914897</v>
      </c>
      <c r="AN278">
        <v>3.7530347346542405E-2</v>
      </c>
      <c r="AO278">
        <v>0.20557154567884323</v>
      </c>
      <c r="AP278">
        <v>-10.891856022214153</v>
      </c>
      <c r="AQ278" t="s">
        <v>330</v>
      </c>
      <c r="AR278" t="s">
        <v>330</v>
      </c>
      <c r="AS278">
        <v>-10.891856022214153</v>
      </c>
      <c r="AT278">
        <v>2.154558050423288</v>
      </c>
      <c r="AU278">
        <v>0</v>
      </c>
      <c r="AV278">
        <v>0</v>
      </c>
      <c r="AW278">
        <v>0.143646408839779</v>
      </c>
    </row>
    <row r="279" spans="2:49" ht="15" customHeight="1" x14ac:dyDescent="0.2">
      <c r="B279" t="s">
        <v>880</v>
      </c>
      <c r="C279" t="s">
        <v>881</v>
      </c>
      <c r="N279" t="s">
        <v>89</v>
      </c>
      <c r="O279">
        <v>90.259431546644834</v>
      </c>
      <c r="P279">
        <v>477.25230172804243</v>
      </c>
      <c r="Q279">
        <v>74.725649514589861</v>
      </c>
      <c r="R279" t="s">
        <v>1013</v>
      </c>
      <c r="S279">
        <v>0.25184826560614115</v>
      </c>
      <c r="T279">
        <v>3.8726288843245631E-2</v>
      </c>
      <c r="U279">
        <v>1.9617548424170034E-3</v>
      </c>
      <c r="V279">
        <v>5.7262024305561002E-2</v>
      </c>
      <c r="W279">
        <v>1.7537302842549708E-2</v>
      </c>
      <c r="X279">
        <v>0</v>
      </c>
      <c r="Y279">
        <v>-6.1457964778711176E-2</v>
      </c>
      <c r="Z279">
        <v>0</v>
      </c>
      <c r="AA279">
        <v>0.15249989058490296</v>
      </c>
      <c r="AB279">
        <v>1.5571021471795186</v>
      </c>
      <c r="AC279">
        <v>161.54169018545369</v>
      </c>
      <c r="AD279">
        <v>902.59431546644828</v>
      </c>
      <c r="AE279">
        <v>0.17739981031250415</v>
      </c>
      <c r="AF279">
        <v>89.217083362712671</v>
      </c>
      <c r="AG279">
        <v>1.042348183932154</v>
      </c>
      <c r="AH279">
        <v>15.37683364625931</v>
      </c>
      <c r="AI279">
        <v>73.477166353740685</v>
      </c>
      <c r="AJ279">
        <v>477.84328063934873</v>
      </c>
      <c r="AK279">
        <v>1.7601804940671728</v>
      </c>
      <c r="AL279">
        <v>-1.5274667842535337</v>
      </c>
      <c r="AM279">
        <v>-1.7940885340452724</v>
      </c>
      <c r="AN279">
        <v>5.0233576374955437E-2</v>
      </c>
      <c r="AO279">
        <v>1.7190748691713753</v>
      </c>
      <c r="AP279">
        <v>7.6176675862024812</v>
      </c>
      <c r="AQ279" t="s">
        <v>330</v>
      </c>
      <c r="AR279" t="s">
        <v>330</v>
      </c>
      <c r="AS279">
        <v>7.6176680000000001</v>
      </c>
      <c r="AT279">
        <v>1.4068021698516668</v>
      </c>
      <c r="AU279">
        <v>58.781733082992552</v>
      </c>
      <c r="AV279">
        <v>58.781733082992552</v>
      </c>
      <c r="AW279">
        <v>0.10416666666666667</v>
      </c>
    </row>
    <row r="280" spans="2:49" ht="15" customHeight="1" x14ac:dyDescent="0.2">
      <c r="B280" t="s">
        <v>882</v>
      </c>
      <c r="C280" t="s">
        <v>883</v>
      </c>
      <c r="N280" t="s">
        <v>89</v>
      </c>
      <c r="O280">
        <v>98.605492844748753</v>
      </c>
      <c r="P280" t="s">
        <v>330</v>
      </c>
      <c r="Q280">
        <v>43.09382090709201</v>
      </c>
      <c r="R280" t="s">
        <v>1013</v>
      </c>
      <c r="S280" t="s">
        <v>330</v>
      </c>
      <c r="T280" t="s">
        <v>330</v>
      </c>
      <c r="U280" t="s">
        <v>330</v>
      </c>
      <c r="V280" t="s">
        <v>330</v>
      </c>
      <c r="W280" t="s">
        <v>330</v>
      </c>
      <c r="X280" t="s">
        <v>330</v>
      </c>
      <c r="Y280" t="s">
        <v>330</v>
      </c>
      <c r="Z280" t="s">
        <v>330</v>
      </c>
      <c r="AA280" t="s">
        <v>330</v>
      </c>
      <c r="AB280">
        <v>-1.002486906898411</v>
      </c>
      <c r="AC280">
        <v>141.98294541167132</v>
      </c>
      <c r="AD280">
        <v>197210.98568949752</v>
      </c>
      <c r="AE280">
        <v>0.67406788664448414</v>
      </c>
      <c r="AF280">
        <v>93.484507741272921</v>
      </c>
      <c r="AG280">
        <v>5.1209851034758467</v>
      </c>
      <c r="AH280">
        <v>63.856235484058651</v>
      </c>
      <c r="AI280">
        <v>35.67540232097781</v>
      </c>
      <c r="AJ280">
        <v>55.81205998748969</v>
      </c>
      <c r="AK280">
        <v>1.7154242317386894</v>
      </c>
      <c r="AL280">
        <v>-1.3814453093389603</v>
      </c>
      <c r="AM280">
        <v>-1.8690122615649307</v>
      </c>
      <c r="AN280">
        <v>5.0932806044767596E-2</v>
      </c>
      <c r="AO280">
        <v>1.4009821050374978</v>
      </c>
      <c r="AP280">
        <v>0.22662040034540087</v>
      </c>
      <c r="AQ280" t="s">
        <v>330</v>
      </c>
      <c r="AR280" t="s">
        <v>330</v>
      </c>
      <c r="AS280">
        <v>0.22661999999999999</v>
      </c>
      <c r="AT280">
        <v>0</v>
      </c>
      <c r="AU280">
        <v>0</v>
      </c>
      <c r="AV280">
        <v>0</v>
      </c>
      <c r="AW280">
        <v>0</v>
      </c>
    </row>
    <row r="281" spans="2:49" ht="15" customHeight="1" x14ac:dyDescent="0.2">
      <c r="B281" t="s">
        <v>884</v>
      </c>
      <c r="C281" t="s">
        <v>885</v>
      </c>
      <c r="N281" t="s">
        <v>89</v>
      </c>
      <c r="O281">
        <v>100.77592239499889</v>
      </c>
      <c r="P281">
        <v>178.607577717688</v>
      </c>
      <c r="Q281">
        <v>28.039789357357197</v>
      </c>
      <c r="R281" t="s">
        <v>1013</v>
      </c>
      <c r="S281">
        <v>0.29316277230763993</v>
      </c>
      <c r="T281">
        <v>0.26673332944185757</v>
      </c>
      <c r="U281">
        <v>1.9384299054517211E-2</v>
      </c>
      <c r="V281">
        <v>0.34249827308983638</v>
      </c>
      <c r="W281">
        <v>5.8196929963742153E-3</v>
      </c>
      <c r="X281">
        <v>0.17819403025068842</v>
      </c>
      <c r="Y281">
        <v>-0.24768520132930991</v>
      </c>
      <c r="Z281">
        <v>0</v>
      </c>
      <c r="AA281">
        <v>3.8708635256458762E-2</v>
      </c>
      <c r="AB281">
        <v>-3.7202116496699724</v>
      </c>
      <c r="AC281">
        <v>0</v>
      </c>
      <c r="AD281">
        <v>1007.7592239499888</v>
      </c>
      <c r="AE281">
        <v>1.4164486099053981</v>
      </c>
      <c r="AF281">
        <v>98.905197351693673</v>
      </c>
      <c r="AG281">
        <v>1.8707250433052083</v>
      </c>
      <c r="AH281">
        <v>91.016037723941807</v>
      </c>
      <c r="AI281">
        <v>13.508962276058199</v>
      </c>
      <c r="AJ281">
        <v>14.842397684935325</v>
      </c>
      <c r="AK281">
        <v>1.3445350544516241</v>
      </c>
      <c r="AL281">
        <v>-1.1361627350222534</v>
      </c>
      <c r="AM281">
        <v>-1.7890349170988884</v>
      </c>
      <c r="AN281">
        <v>-1.9391436657307433</v>
      </c>
      <c r="AO281">
        <v>1.0869770246565447</v>
      </c>
      <c r="AP281">
        <v>4.0366879999999998</v>
      </c>
      <c r="AQ281">
        <v>3.6176300000000001</v>
      </c>
      <c r="AR281" t="s">
        <v>330</v>
      </c>
      <c r="AS281">
        <v>3.6176300000000001</v>
      </c>
      <c r="AT281">
        <v>6.4577852188471656</v>
      </c>
      <c r="AU281">
        <v>0</v>
      </c>
      <c r="AV281">
        <v>0</v>
      </c>
      <c r="AW281">
        <v>1.6875</v>
      </c>
    </row>
    <row r="282" spans="2:49" ht="15" customHeight="1" x14ac:dyDescent="0.2">
      <c r="B282" t="s">
        <v>886</v>
      </c>
      <c r="C282" t="s">
        <v>887</v>
      </c>
      <c r="N282" t="s">
        <v>89</v>
      </c>
      <c r="O282">
        <v>264.47845538737346</v>
      </c>
      <c r="P282" t="s">
        <v>330</v>
      </c>
      <c r="Q282" t="s">
        <v>330</v>
      </c>
      <c r="R282" t="s">
        <v>1013</v>
      </c>
      <c r="S282" t="s">
        <v>330</v>
      </c>
      <c r="T282" t="s">
        <v>330</v>
      </c>
      <c r="U282" t="s">
        <v>330</v>
      </c>
      <c r="V282" t="s">
        <v>330</v>
      </c>
      <c r="W282" t="s">
        <v>330</v>
      </c>
      <c r="X282" t="s">
        <v>330</v>
      </c>
      <c r="Y282" t="s">
        <v>330</v>
      </c>
      <c r="Z282" t="s">
        <v>330</v>
      </c>
      <c r="AA282" t="s">
        <v>330</v>
      </c>
      <c r="AB282">
        <v>0.55900787276148955</v>
      </c>
      <c r="AC282">
        <v>148.19692718563749</v>
      </c>
      <c r="AD282">
        <v>2644.7845538737347</v>
      </c>
      <c r="AE282">
        <v>1.1859633627915711</v>
      </c>
      <c r="AF282">
        <v>97.16990624162456</v>
      </c>
      <c r="AG282">
        <v>167.30854914574891</v>
      </c>
      <c r="AH282">
        <v>262.83587107543946</v>
      </c>
      <c r="AI282">
        <v>0.16412892456054351</v>
      </c>
      <c r="AJ282">
        <v>6.2445405145416792E-2</v>
      </c>
      <c r="AK282">
        <v>0.91944815008187897</v>
      </c>
      <c r="AL282">
        <v>-0.15865274200450585</v>
      </c>
      <c r="AM282">
        <v>-1.9546614891119134</v>
      </c>
      <c r="AN282">
        <v>4.0606188251965779E-3</v>
      </c>
      <c r="AO282">
        <v>5.9987019272375923E-2</v>
      </c>
      <c r="AP282">
        <v>-31.618949000000001</v>
      </c>
      <c r="AQ282" t="s">
        <v>330</v>
      </c>
      <c r="AR282" t="s">
        <v>330</v>
      </c>
      <c r="AS282">
        <v>-31.618949000000001</v>
      </c>
      <c r="AT282">
        <v>1.3307984790874525</v>
      </c>
      <c r="AU282">
        <v>0</v>
      </c>
      <c r="AV282">
        <v>0</v>
      </c>
      <c r="AW282">
        <v>0.42777777777777781</v>
      </c>
    </row>
    <row r="283" spans="2:49" ht="15" customHeight="1" x14ac:dyDescent="0.2">
      <c r="B283" t="s">
        <v>320</v>
      </c>
      <c r="C283" t="s">
        <v>359</v>
      </c>
      <c r="N283" t="s">
        <v>89</v>
      </c>
      <c r="O283">
        <v>109.6278698187283</v>
      </c>
      <c r="P283">
        <v>59.101740730457813</v>
      </c>
      <c r="Q283">
        <v>27.741891453846819</v>
      </c>
      <c r="R283" t="s">
        <v>1013</v>
      </c>
      <c r="S283">
        <v>0.54490391326664045</v>
      </c>
      <c r="T283">
        <v>0.43779412786297101</v>
      </c>
      <c r="U283">
        <v>6.2946077684531768E-3</v>
      </c>
      <c r="V283">
        <v>0.70067503102718909</v>
      </c>
      <c r="W283">
        <v>-7.5790240700007413E-4</v>
      </c>
      <c r="X283">
        <v>5.0352031042051555E-2</v>
      </c>
      <c r="Y283">
        <v>-1.6007902986769649</v>
      </c>
      <c r="Z283">
        <v>0</v>
      </c>
      <c r="AA283">
        <v>4.447014624190139E-2</v>
      </c>
      <c r="AB283">
        <v>0.58914746751556712</v>
      </c>
      <c r="AC283">
        <v>159.02293036668388</v>
      </c>
      <c r="AD283">
        <v>109627.8698187283</v>
      </c>
      <c r="AE283">
        <v>0.1762808702885616</v>
      </c>
      <c r="AF283">
        <v>93.970048280912124</v>
      </c>
      <c r="AG283">
        <v>15.657821537816154</v>
      </c>
      <c r="AH283">
        <v>80.343362784539792</v>
      </c>
      <c r="AI283">
        <v>28.637637215460202</v>
      </c>
      <c r="AJ283">
        <v>35.644060968992505</v>
      </c>
      <c r="AK283">
        <v>5.1950828720170259</v>
      </c>
      <c r="AL283">
        <v>-3.8261129950027679</v>
      </c>
      <c r="AM283">
        <v>-5.6302175232023002</v>
      </c>
      <c r="AN283">
        <v>-0.68375828771981229</v>
      </c>
      <c r="AO283">
        <v>3.5107751692965516</v>
      </c>
      <c r="AP283">
        <v>4.6049193089914231E-2</v>
      </c>
      <c r="AQ283" t="s">
        <v>330</v>
      </c>
      <c r="AR283" t="s">
        <v>330</v>
      </c>
      <c r="AS283">
        <v>4.6049193089914231E-2</v>
      </c>
      <c r="AT283">
        <v>1.4910719201336</v>
      </c>
      <c r="AU283">
        <v>0</v>
      </c>
      <c r="AV283">
        <v>0</v>
      </c>
      <c r="AW283">
        <v>0.48394808743169404</v>
      </c>
    </row>
    <row r="284" spans="2:49" ht="15" customHeight="1" x14ac:dyDescent="0.2">
      <c r="B284" t="s">
        <v>321</v>
      </c>
      <c r="C284" t="s">
        <v>360</v>
      </c>
      <c r="N284" t="s">
        <v>89</v>
      </c>
      <c r="O284">
        <v>133.15082543428682</v>
      </c>
      <c r="P284">
        <v>75.934603767546321</v>
      </c>
      <c r="Q284">
        <v>29.230123052661639</v>
      </c>
      <c r="R284" t="s">
        <v>1013</v>
      </c>
      <c r="S284">
        <v>0.73867833373353653</v>
      </c>
      <c r="T284">
        <v>0.80892377968411178</v>
      </c>
      <c r="U284">
        <v>4.8502249883293951E-3</v>
      </c>
      <c r="V284">
        <v>0.75151160306681408</v>
      </c>
      <c r="W284">
        <v>-2.4750946314597969E-3</v>
      </c>
      <c r="X284">
        <v>0.14186519665249556</v>
      </c>
      <c r="Y284">
        <v>-2.1536564902143995</v>
      </c>
      <c r="Z284">
        <v>0</v>
      </c>
      <c r="AA284">
        <v>3.9621692895054308E-2</v>
      </c>
      <c r="AB284">
        <v>1.0355365276855217</v>
      </c>
      <c r="AC284">
        <v>159.77633484290152</v>
      </c>
      <c r="AD284">
        <v>133150.82543428682</v>
      </c>
      <c r="AE284">
        <v>0.32571895265288853</v>
      </c>
      <c r="AF284">
        <v>96.365376442556212</v>
      </c>
      <c r="AG284">
        <v>36.785448991730576</v>
      </c>
      <c r="AH284">
        <v>109.50961233633728</v>
      </c>
      <c r="AI284">
        <v>22.261387663662703</v>
      </c>
      <c r="AJ284">
        <v>20.328249903114639</v>
      </c>
      <c r="AK284">
        <v>4.3478560743037997</v>
      </c>
      <c r="AL284">
        <v>-2.5997414369239413</v>
      </c>
      <c r="AM284">
        <v>-4.8663366751890864</v>
      </c>
      <c r="AN284">
        <v>-0.80609280789393889</v>
      </c>
      <c r="AO284">
        <v>1.9729088402118367</v>
      </c>
      <c r="AP284">
        <v>-3.6303104455485764</v>
      </c>
      <c r="AQ284" t="s">
        <v>330</v>
      </c>
      <c r="AR284" t="s">
        <v>330</v>
      </c>
      <c r="AS284">
        <v>-3.6303104455485764</v>
      </c>
      <c r="AT284">
        <v>1.4950065264244301</v>
      </c>
      <c r="AU284">
        <v>0</v>
      </c>
      <c r="AV284">
        <v>0</v>
      </c>
      <c r="AW284">
        <v>0.75480978260869558</v>
      </c>
    </row>
    <row r="285" spans="2:49" ht="15" customHeight="1" x14ac:dyDescent="0.2">
      <c r="B285" t="s">
        <v>888</v>
      </c>
      <c r="C285" t="s">
        <v>889</v>
      </c>
      <c r="N285" t="s">
        <v>89</v>
      </c>
      <c r="O285">
        <v>112.99529941053855</v>
      </c>
      <c r="P285">
        <v>87.458280765956331</v>
      </c>
      <c r="Q285">
        <v>33.461716140378506</v>
      </c>
      <c r="R285" t="s">
        <v>1013</v>
      </c>
      <c r="S285">
        <v>0.4265597910407658</v>
      </c>
      <c r="T285">
        <v>0.28249905986902213</v>
      </c>
      <c r="U285">
        <v>4.750197035214971E-3</v>
      </c>
      <c r="V285">
        <v>0.46823606043709148</v>
      </c>
      <c r="W285">
        <v>4.6136267318070169E-3</v>
      </c>
      <c r="X285">
        <v>6.5754474160064469E-2</v>
      </c>
      <c r="Y285">
        <v>-0.77677181414131136</v>
      </c>
      <c r="Z285">
        <v>-0.25275529007630876</v>
      </c>
      <c r="AA285">
        <v>3.58134259664371E-2</v>
      </c>
      <c r="AB285">
        <v>1.361383542999919</v>
      </c>
      <c r="AC285">
        <v>154.59850257736076</v>
      </c>
      <c r="AD285">
        <v>112995.29941053854</v>
      </c>
      <c r="AE285">
        <v>37.710311766016396</v>
      </c>
      <c r="AF285">
        <v>96.908158314861183</v>
      </c>
      <c r="AG285">
        <v>16.087141095677364</v>
      </c>
      <c r="AH285">
        <v>66.227306418111041</v>
      </c>
      <c r="AI285">
        <v>45.060644647083933</v>
      </c>
      <c r="AJ285">
        <v>67.866141759699644</v>
      </c>
      <c r="AK285">
        <v>4.0760339302725033</v>
      </c>
      <c r="AL285">
        <v>-3.5373446561644233</v>
      </c>
      <c r="AM285">
        <v>-2.8659791521899751</v>
      </c>
      <c r="AN285">
        <v>-2.6218220904003216E-2</v>
      </c>
      <c r="AO285">
        <v>3.1737303679126692</v>
      </c>
      <c r="AP285">
        <v>1.4180520000000001</v>
      </c>
      <c r="AQ285" t="s">
        <v>330</v>
      </c>
      <c r="AR285">
        <v>1.0398069999999999</v>
      </c>
      <c r="AS285">
        <v>1.4180520000000001</v>
      </c>
      <c r="AT285">
        <v>0</v>
      </c>
      <c r="AU285">
        <v>0</v>
      </c>
      <c r="AV285">
        <v>0</v>
      </c>
      <c r="AW285">
        <v>0</v>
      </c>
    </row>
    <row r="286" spans="2:49" ht="15" customHeight="1" x14ac:dyDescent="0.2">
      <c r="B286" t="s">
        <v>890</v>
      </c>
      <c r="C286" t="s">
        <v>891</v>
      </c>
      <c r="N286" t="s">
        <v>89</v>
      </c>
      <c r="O286">
        <v>108.33152368281982</v>
      </c>
      <c r="P286">
        <v>29.135497652874708</v>
      </c>
      <c r="Q286">
        <v>37.392494985646394</v>
      </c>
      <c r="R286" t="s">
        <v>1013</v>
      </c>
      <c r="S286">
        <v>0.47913382968962709</v>
      </c>
      <c r="T286">
        <v>0.38044984372422491</v>
      </c>
      <c r="U286">
        <v>5.2224578729856298E-3</v>
      </c>
      <c r="V286">
        <v>0.48987353714651427</v>
      </c>
      <c r="W286">
        <v>-6.2677685450948772E-3</v>
      </c>
      <c r="X286">
        <v>-0.66316588889742445</v>
      </c>
      <c r="Y286">
        <v>-0.83482738333708018</v>
      </c>
      <c r="Z286">
        <v>0</v>
      </c>
      <c r="AA286">
        <v>1.6760792551155781E-2</v>
      </c>
      <c r="AB286">
        <v>-0.19982763079562563</v>
      </c>
      <c r="AC286">
        <v>146.44500258732305</v>
      </c>
      <c r="AD286">
        <v>10833152.368281983</v>
      </c>
      <c r="AE286">
        <v>1.0989308022074665E-2</v>
      </c>
      <c r="AF286">
        <v>92.968449337086483</v>
      </c>
      <c r="AG286">
        <v>15.363074345733338</v>
      </c>
      <c r="AH286">
        <v>79.403669736839987</v>
      </c>
      <c r="AI286">
        <v>29.144330263160015</v>
      </c>
      <c r="AJ286">
        <v>36.704009222433029</v>
      </c>
      <c r="AK286">
        <v>4.0434507882233515</v>
      </c>
      <c r="AL286">
        <v>-3.2825811688093469</v>
      </c>
      <c r="AM286">
        <v>-4.2100925306253139</v>
      </c>
      <c r="AN286">
        <v>0.14747130642444808</v>
      </c>
      <c r="AO286">
        <v>3.024082589093624</v>
      </c>
      <c r="AP286">
        <v>-1.6261680000000001</v>
      </c>
      <c r="AQ286" t="s">
        <v>330</v>
      </c>
      <c r="AR286" t="s">
        <v>330</v>
      </c>
      <c r="AS286">
        <v>-1.6261680000000001</v>
      </c>
      <c r="AT286">
        <v>0</v>
      </c>
      <c r="AU286">
        <v>0</v>
      </c>
      <c r="AV286">
        <v>0</v>
      </c>
      <c r="AW286">
        <v>0</v>
      </c>
    </row>
    <row r="287" spans="2:49" ht="15" customHeight="1" x14ac:dyDescent="0.2">
      <c r="B287" t="s">
        <v>892</v>
      </c>
      <c r="C287" t="s">
        <v>893</v>
      </c>
      <c r="N287" t="s">
        <v>89</v>
      </c>
      <c r="O287">
        <v>157.59234426277686</v>
      </c>
      <c r="P287">
        <v>15.82607362247172</v>
      </c>
      <c r="Q287">
        <v>29.529878940672049</v>
      </c>
      <c r="R287" t="s">
        <v>1013</v>
      </c>
      <c r="S287">
        <v>0.91123312764234043</v>
      </c>
      <c r="T287">
        <v>1.4308266163289889</v>
      </c>
      <c r="U287">
        <v>4.3571879812328252E-3</v>
      </c>
      <c r="V287">
        <v>0.45511428175068458</v>
      </c>
      <c r="W287">
        <v>1.9630810502916575E-4</v>
      </c>
      <c r="X287">
        <v>-3.1631421892287201E-4</v>
      </c>
      <c r="Y287">
        <v>-0.82444571933446065</v>
      </c>
      <c r="Z287">
        <v>0</v>
      </c>
      <c r="AA287">
        <v>2.7280668775604218E-3</v>
      </c>
      <c r="AB287">
        <v>-0.54422423959442534</v>
      </c>
      <c r="AC287">
        <v>0</v>
      </c>
      <c r="AD287">
        <v>15759234.426277686</v>
      </c>
      <c r="AE287">
        <v>8.5473513520250247E-2</v>
      </c>
      <c r="AF287">
        <v>95.579711618957589</v>
      </c>
      <c r="AG287">
        <v>62.012632643819266</v>
      </c>
      <c r="AH287">
        <v>157.02091736183999</v>
      </c>
      <c r="AI287">
        <v>1.429082638159997</v>
      </c>
      <c r="AJ287">
        <v>0.91012246149779519</v>
      </c>
      <c r="AK287">
        <v>1.7629253523696788</v>
      </c>
      <c r="AL287">
        <v>-0.549658588934131</v>
      </c>
      <c r="AM287">
        <v>-2.7869296200519429</v>
      </c>
      <c r="AN287">
        <v>-1.5230601512697377</v>
      </c>
      <c r="AO287">
        <v>0.34689718455924962</v>
      </c>
      <c r="AP287">
        <v>-13.650245088193424</v>
      </c>
      <c r="AQ287" t="s">
        <v>330</v>
      </c>
      <c r="AR287">
        <v>-13.650245088193424</v>
      </c>
      <c r="AS287">
        <v>-13.650245</v>
      </c>
      <c r="AT287">
        <v>0</v>
      </c>
      <c r="AU287">
        <v>0</v>
      </c>
      <c r="AV287">
        <v>0</v>
      </c>
      <c r="AW287">
        <v>0</v>
      </c>
    </row>
    <row r="288" spans="2:49" ht="15" customHeight="1" x14ac:dyDescent="0.2">
      <c r="B288" t="s">
        <v>322</v>
      </c>
      <c r="C288" t="s">
        <v>361</v>
      </c>
      <c r="N288" t="s">
        <v>89</v>
      </c>
      <c r="O288">
        <v>115.59793548780706</v>
      </c>
      <c r="P288">
        <v>192.7381568444755</v>
      </c>
      <c r="Q288">
        <v>44.509848616563488</v>
      </c>
      <c r="R288" t="s">
        <v>1013</v>
      </c>
      <c r="S288">
        <v>0.74161219995389405</v>
      </c>
      <c r="T288">
        <v>0.78763314527690398</v>
      </c>
      <c r="U288">
        <v>6.4740244959732738E-3</v>
      </c>
      <c r="V288">
        <v>0.68091855929139911</v>
      </c>
      <c r="W288">
        <v>-4.1457555189708725E-3</v>
      </c>
      <c r="X288">
        <v>0.13919814071406011</v>
      </c>
      <c r="Y288">
        <v>-1.8557299761277894</v>
      </c>
      <c r="Z288">
        <v>0</v>
      </c>
      <c r="AA288">
        <v>7.5150365245553102E-2</v>
      </c>
      <c r="AB288">
        <v>-4.8349172401806886</v>
      </c>
      <c r="AC288">
        <v>0</v>
      </c>
      <c r="AD288">
        <v>1155.9793548780706</v>
      </c>
      <c r="AE288">
        <v>1.1212657399567116</v>
      </c>
      <c r="AF288">
        <v>89.724270443017446</v>
      </c>
      <c r="AG288">
        <v>25.873665044789629</v>
      </c>
      <c r="AH288">
        <v>106.20552700263977</v>
      </c>
      <c r="AI288">
        <v>14.981472997360228</v>
      </c>
      <c r="AJ288">
        <v>14.106114267469206</v>
      </c>
      <c r="AK288">
        <v>3.4562201590863255</v>
      </c>
      <c r="AL288">
        <v>-1.2091029525867043</v>
      </c>
      <c r="AM288">
        <v>-2.9982452982742416</v>
      </c>
      <c r="AN288">
        <v>5.8578183942518403E-2</v>
      </c>
      <c r="AO288">
        <v>0.99771671267273254</v>
      </c>
      <c r="AP288">
        <v>-4.503279</v>
      </c>
      <c r="AQ288" t="s">
        <v>330</v>
      </c>
      <c r="AR288">
        <v>-10.558227</v>
      </c>
      <c r="AS288">
        <v>-4.503279</v>
      </c>
      <c r="AT288">
        <v>0.6188782625199073</v>
      </c>
      <c r="AU288">
        <v>77.378202151540819</v>
      </c>
      <c r="AV288">
        <v>57.212692483785411</v>
      </c>
      <c r="AW288">
        <v>0.24999999999999997</v>
      </c>
    </row>
    <row r="289" spans="2:49" ht="15" customHeight="1" x14ac:dyDescent="0.2">
      <c r="B289" t="s">
        <v>894</v>
      </c>
      <c r="C289" t="s">
        <v>895</v>
      </c>
      <c r="N289" t="s">
        <v>89</v>
      </c>
      <c r="O289">
        <v>111.60257822450343</v>
      </c>
      <c r="P289">
        <v>253.86148556933199</v>
      </c>
      <c r="Q289">
        <v>41.665255918768111</v>
      </c>
      <c r="R289" t="s">
        <v>1013</v>
      </c>
      <c r="S289">
        <v>0.61771631052104414</v>
      </c>
      <c r="T289">
        <v>0.63649568255027811</v>
      </c>
      <c r="U289">
        <v>7.0600506408602572E-3</v>
      </c>
      <c r="V289">
        <v>0.34229877617988225</v>
      </c>
      <c r="W289">
        <v>2.7705749957931403E-3</v>
      </c>
      <c r="X289">
        <v>3.2552165498857401E-2</v>
      </c>
      <c r="Y289">
        <v>-0.48656632466295202</v>
      </c>
      <c r="Z289">
        <v>0</v>
      </c>
      <c r="AA289">
        <v>4.5431538573605289E-2</v>
      </c>
      <c r="AB289">
        <v>-1.9510497070384838</v>
      </c>
      <c r="AC289">
        <v>140.87120963398607</v>
      </c>
      <c r="AD289">
        <v>1116.0257822450344</v>
      </c>
      <c r="AE289">
        <v>1.7076097309770375</v>
      </c>
      <c r="AF289">
        <v>90.659894752289219</v>
      </c>
      <c r="AG289">
        <v>20.942683472214231</v>
      </c>
      <c r="AH289">
        <v>103.06775949367523</v>
      </c>
      <c r="AI289">
        <v>10.712240506324775</v>
      </c>
      <c r="AJ289">
        <v>10.393396110431734</v>
      </c>
      <c r="AK289">
        <v>1.1840718778407049</v>
      </c>
      <c r="AL289">
        <v>-0.71169469202231994</v>
      </c>
      <c r="AM289">
        <v>-1.5194223732626142</v>
      </c>
      <c r="AN289">
        <v>2.9311269103999681E-3</v>
      </c>
      <c r="AO289">
        <v>0.62550069609977144</v>
      </c>
      <c r="AP289">
        <v>-6.0340210000000001</v>
      </c>
      <c r="AQ289" t="s">
        <v>330</v>
      </c>
      <c r="AR289">
        <v>-6.0340210000000001</v>
      </c>
      <c r="AS289">
        <v>-6.0340210000000001</v>
      </c>
      <c r="AT289">
        <v>1.3183336262963614</v>
      </c>
      <c r="AU289">
        <v>0</v>
      </c>
      <c r="AV289">
        <v>0</v>
      </c>
      <c r="AW289">
        <v>0.43333333333333329</v>
      </c>
    </row>
    <row r="290" spans="2:49" ht="15" customHeight="1" x14ac:dyDescent="0.2">
      <c r="B290" t="s">
        <v>896</v>
      </c>
      <c r="C290" t="s">
        <v>897</v>
      </c>
      <c r="N290" t="s">
        <v>89</v>
      </c>
      <c r="O290">
        <v>89.898135530028242</v>
      </c>
      <c r="P290">
        <v>160.64998444189285</v>
      </c>
      <c r="Q290" t="s">
        <v>330</v>
      </c>
      <c r="R290" t="s">
        <v>1013</v>
      </c>
      <c r="S290">
        <v>1.7466673185024855E-2</v>
      </c>
      <c r="T290">
        <v>6.3956800201263298E-4</v>
      </c>
      <c r="U290">
        <v>3.4873443945394612E-4</v>
      </c>
      <c r="V290">
        <v>1.949744319972524E-3</v>
      </c>
      <c r="W290">
        <v>1.5503383508837487E-2</v>
      </c>
      <c r="X290">
        <v>0</v>
      </c>
      <c r="Y290">
        <v>-9.9290489727818705E-4</v>
      </c>
      <c r="Z290">
        <v>0</v>
      </c>
      <c r="AA290">
        <v>4.38650299501743E-2</v>
      </c>
      <c r="AB290">
        <v>-4.4515544692637601</v>
      </c>
      <c r="AC290">
        <v>158.8943719208867</v>
      </c>
      <c r="AD290">
        <v>898.98135530028242</v>
      </c>
      <c r="AE290">
        <v>7.2144132695521664E-3</v>
      </c>
      <c r="AF290">
        <v>90.688403177636545</v>
      </c>
      <c r="AG290">
        <v>-0.79026764760830015</v>
      </c>
      <c r="AH290">
        <v>3.663710447216034</v>
      </c>
      <c r="AI290">
        <v>90.236289552783973</v>
      </c>
      <c r="AJ290">
        <v>2462.9754685267872</v>
      </c>
      <c r="AK290">
        <v>1.5899150310367558</v>
      </c>
      <c r="AL290">
        <v>-1.4777379636692558</v>
      </c>
      <c r="AM290">
        <v>-1.7242658320423061</v>
      </c>
      <c r="AN290">
        <v>3.9021053442603391E-2</v>
      </c>
      <c r="AO290">
        <v>1.5737358505529881</v>
      </c>
      <c r="AP290">
        <v>5.2127800000000004</v>
      </c>
      <c r="AQ290" t="s">
        <v>330</v>
      </c>
      <c r="AR290" t="s">
        <v>330</v>
      </c>
      <c r="AS290">
        <v>5.2127800000000004</v>
      </c>
      <c r="AT290">
        <v>1.3312034078807242</v>
      </c>
      <c r="AU290">
        <v>72.189031642227178</v>
      </c>
      <c r="AV290">
        <v>72.189031642227178</v>
      </c>
      <c r="AW290">
        <v>0.46527777777777785</v>
      </c>
    </row>
    <row r="291" spans="2:49" ht="15" customHeight="1" x14ac:dyDescent="0.2">
      <c r="B291" t="s">
        <v>898</v>
      </c>
      <c r="C291" t="s">
        <v>899</v>
      </c>
      <c r="N291" t="s">
        <v>89</v>
      </c>
      <c r="O291">
        <v>93.793642804823818</v>
      </c>
      <c r="P291">
        <v>116.13309350068982</v>
      </c>
      <c r="Q291">
        <v>46.940359889607777</v>
      </c>
      <c r="R291" t="s">
        <v>1013</v>
      </c>
      <c r="S291">
        <v>0.54557300047953039</v>
      </c>
      <c r="T291">
        <v>0.43291439547899679</v>
      </c>
      <c r="U291">
        <v>6.6604663604903306E-3</v>
      </c>
      <c r="V291">
        <v>0.69164979121082437</v>
      </c>
      <c r="W291">
        <v>-1.0452610287757124E-4</v>
      </c>
      <c r="X291">
        <v>5.8015934681486137E-2</v>
      </c>
      <c r="Y291">
        <v>-1.5748289637403305</v>
      </c>
      <c r="Z291">
        <v>0</v>
      </c>
      <c r="AA291">
        <v>8.9305606154882478E-2</v>
      </c>
      <c r="AB291">
        <v>-12.871189170355263</v>
      </c>
      <c r="AC291">
        <v>146.73411521311007</v>
      </c>
      <c r="AD291">
        <v>93793.642804823816</v>
      </c>
      <c r="AE291">
        <v>2.8822512123564734</v>
      </c>
      <c r="AF291">
        <v>78.624060226877347</v>
      </c>
      <c r="AG291">
        <v>15.169582577946464</v>
      </c>
      <c r="AH291">
        <v>79.350406838037699</v>
      </c>
      <c r="AI291">
        <v>26.5155931619623</v>
      </c>
      <c r="AJ291">
        <v>33.41582509599899</v>
      </c>
      <c r="AK291">
        <v>4.7811221221098243</v>
      </c>
      <c r="AL291">
        <v>-3.5692628324196267</v>
      </c>
      <c r="AM291">
        <v>-4.964395383755182</v>
      </c>
      <c r="AN291">
        <v>0.39833747540824344</v>
      </c>
      <c r="AO291">
        <v>3.3714911609200562</v>
      </c>
      <c r="AP291">
        <v>0.66159924861116104</v>
      </c>
      <c r="AQ291" t="s">
        <v>330</v>
      </c>
      <c r="AR291" t="s">
        <v>330</v>
      </c>
      <c r="AS291">
        <v>0.66159924861116104</v>
      </c>
      <c r="AT291">
        <v>0.59036895698335634</v>
      </c>
      <c r="AU291">
        <v>0</v>
      </c>
      <c r="AV291">
        <v>0</v>
      </c>
      <c r="AW291">
        <v>5.8701657458563539E-2</v>
      </c>
    </row>
    <row r="292" spans="2:49" ht="15" customHeight="1" x14ac:dyDescent="0.2">
      <c r="B292" t="s">
        <v>900</v>
      </c>
      <c r="C292" t="s">
        <v>901</v>
      </c>
      <c r="N292" t="s">
        <v>89</v>
      </c>
      <c r="O292">
        <v>94.931205301423788</v>
      </c>
      <c r="P292">
        <v>37.671124030446911</v>
      </c>
      <c r="Q292">
        <v>83.118553045071067</v>
      </c>
      <c r="R292" t="s">
        <v>1013</v>
      </c>
      <c r="S292">
        <v>8.9396141891592243E-4</v>
      </c>
      <c r="T292">
        <v>4.2027822571291418E-4</v>
      </c>
      <c r="U292">
        <v>1.2822913134149375E-4</v>
      </c>
      <c r="V292">
        <v>1.2342021102376749E-3</v>
      </c>
      <c r="W292">
        <v>6.8427958902902899E-3</v>
      </c>
      <c r="X292">
        <v>-2.4951199520023185E-4</v>
      </c>
      <c r="Y292">
        <v>-4.6659799284884647E-3</v>
      </c>
      <c r="Z292">
        <v>0</v>
      </c>
      <c r="AA292">
        <v>5.4187534724386387E-3</v>
      </c>
      <c r="AB292">
        <v>-3.6561156972102173</v>
      </c>
      <c r="AC292">
        <v>138.22677655967721</v>
      </c>
      <c r="AD292">
        <v>94931.205301423775</v>
      </c>
      <c r="AE292">
        <v>2.7982435993023852E-3</v>
      </c>
      <c r="AF292">
        <v>95.432665078496413</v>
      </c>
      <c r="AG292">
        <v>-0.50145977707263956</v>
      </c>
      <c r="AH292">
        <v>47.013016089952934</v>
      </c>
      <c r="AI292">
        <v>51.388983910047067</v>
      </c>
      <c r="AJ292">
        <v>109.30799209249057</v>
      </c>
      <c r="AK292">
        <v>0.85794790476087868</v>
      </c>
      <c r="AL292">
        <v>-0.84155865424188958</v>
      </c>
      <c r="AM292">
        <v>-1.0241724393524054</v>
      </c>
      <c r="AN292">
        <v>-0.86126660737120464</v>
      </c>
      <c r="AO292">
        <v>0.85522515217362416</v>
      </c>
      <c r="AP292">
        <v>2.5113915036772307</v>
      </c>
      <c r="AQ292" t="s">
        <v>330</v>
      </c>
      <c r="AR292" t="s">
        <v>330</v>
      </c>
      <c r="AS292">
        <v>2.5113915036772307</v>
      </c>
      <c r="AT292">
        <v>0.63514969207942928</v>
      </c>
      <c r="AU292">
        <v>0</v>
      </c>
      <c r="AV292">
        <v>0</v>
      </c>
      <c r="AW292">
        <v>8.3220108695652176E-2</v>
      </c>
    </row>
    <row r="293" spans="2:49" ht="15" customHeight="1" x14ac:dyDescent="0.2">
      <c r="B293" t="s">
        <v>902</v>
      </c>
      <c r="C293" t="s">
        <v>903</v>
      </c>
      <c r="N293" t="s">
        <v>89</v>
      </c>
      <c r="O293">
        <v>98.72025685736925</v>
      </c>
      <c r="P293" t="s">
        <v>330</v>
      </c>
      <c r="Q293" t="s">
        <v>330</v>
      </c>
      <c r="R293" t="s">
        <v>1013</v>
      </c>
      <c r="S293" t="s">
        <v>330</v>
      </c>
      <c r="T293" t="s">
        <v>330</v>
      </c>
      <c r="U293" t="s">
        <v>330</v>
      </c>
      <c r="V293" t="s">
        <v>330</v>
      </c>
      <c r="W293" t="s">
        <v>330</v>
      </c>
      <c r="X293" t="s">
        <v>330</v>
      </c>
      <c r="Y293" t="s">
        <v>330</v>
      </c>
      <c r="Z293" t="s">
        <v>330</v>
      </c>
      <c r="AA293" t="s">
        <v>330</v>
      </c>
      <c r="AB293">
        <v>-1.5141199893658495</v>
      </c>
      <c r="AC293">
        <v>142.84019843771355</v>
      </c>
      <c r="AD293">
        <v>98720.256857369241</v>
      </c>
      <c r="AE293">
        <v>3.5306851054957278E-14</v>
      </c>
      <c r="AF293">
        <v>99.053768376889209</v>
      </c>
      <c r="AG293">
        <v>-0.33351151951997599</v>
      </c>
      <c r="AH293">
        <v>13.862342696055485</v>
      </c>
      <c r="AI293">
        <v>86.352657303944511</v>
      </c>
      <c r="AJ293">
        <v>622.92975435180995</v>
      </c>
      <c r="AK293">
        <v>2.1452600829194841</v>
      </c>
      <c r="AL293">
        <v>-0.16965372838050827</v>
      </c>
      <c r="AM293">
        <v>-0.1980250482467818</v>
      </c>
      <c r="AN293">
        <v>1.153100934178416E-3</v>
      </c>
      <c r="AO293">
        <v>0.17185300543294116</v>
      </c>
      <c r="AP293">
        <v>0.53128896749640309</v>
      </c>
      <c r="AQ293" t="s">
        <v>330</v>
      </c>
      <c r="AR293">
        <v>-0.62878427311576135</v>
      </c>
      <c r="AS293">
        <v>0.53128900000000001</v>
      </c>
      <c r="AT293">
        <v>0.6236591328643416</v>
      </c>
      <c r="AU293">
        <v>138.16425168631125</v>
      </c>
      <c r="AV293">
        <v>138.16425168631125</v>
      </c>
      <c r="AW293">
        <v>0.11379076086956523</v>
      </c>
    </row>
    <row r="294" spans="2:49" ht="15" customHeight="1" x14ac:dyDescent="0.2">
      <c r="B294" t="s">
        <v>904</v>
      </c>
      <c r="C294" t="s">
        <v>905</v>
      </c>
      <c r="N294" t="s">
        <v>89</v>
      </c>
      <c r="O294">
        <v>102.98357862324674</v>
      </c>
      <c r="P294">
        <v>297.88899296552711</v>
      </c>
      <c r="Q294">
        <v>55.464777411885358</v>
      </c>
      <c r="R294" t="s">
        <v>1013</v>
      </c>
      <c r="S294">
        <v>0.49595929985538928</v>
      </c>
      <c r="T294">
        <v>0.33427586046780333</v>
      </c>
      <c r="U294">
        <v>5.5299912853597165E-3</v>
      </c>
      <c r="V294">
        <v>0.40776168340779256</v>
      </c>
      <c r="W294">
        <v>7.8621802097768518E-4</v>
      </c>
      <c r="X294">
        <v>0</v>
      </c>
      <c r="Y294">
        <v>-0.65528989524462744</v>
      </c>
      <c r="Z294">
        <v>0</v>
      </c>
      <c r="AA294">
        <v>9.6616241814725126E-2</v>
      </c>
      <c r="AB294">
        <v>-2.2463983167808075</v>
      </c>
      <c r="AC294">
        <v>145.15609301677037</v>
      </c>
      <c r="AD294">
        <v>102983.57862324674</v>
      </c>
      <c r="AE294">
        <v>2.001651860088776</v>
      </c>
      <c r="AF294">
        <v>91.583727238303098</v>
      </c>
      <c r="AG294">
        <v>11.399851384943657</v>
      </c>
      <c r="AH294">
        <v>67.399857319999995</v>
      </c>
      <c r="AI294">
        <v>37.897139600837704</v>
      </c>
      <c r="AJ294">
        <v>56.227326549935583</v>
      </c>
      <c r="AK294">
        <v>3.0744426050728659</v>
      </c>
      <c r="AL294">
        <v>-1.5445631246726408</v>
      </c>
      <c r="AM294">
        <v>-2.282500868498464</v>
      </c>
      <c r="AN294">
        <v>0.23897353795710286</v>
      </c>
      <c r="AO294">
        <v>1.466863371864954</v>
      </c>
      <c r="AP294">
        <v>0.94897299999999996</v>
      </c>
      <c r="AQ294" t="s">
        <v>330</v>
      </c>
      <c r="AR294">
        <v>-0.57334700000000005</v>
      </c>
      <c r="AS294">
        <v>0.94897299999999996</v>
      </c>
      <c r="AT294">
        <v>2.2555248487611235</v>
      </c>
      <c r="AU294">
        <v>15.956691654736844</v>
      </c>
      <c r="AV294">
        <v>15.956691654736844</v>
      </c>
      <c r="AW294">
        <v>0.49479166666666674</v>
      </c>
    </row>
    <row r="295" spans="2:49" ht="15" customHeight="1" x14ac:dyDescent="0.2">
      <c r="B295" t="s">
        <v>906</v>
      </c>
      <c r="C295" t="s">
        <v>907</v>
      </c>
      <c r="N295" t="s">
        <v>89</v>
      </c>
      <c r="O295">
        <v>137.16701156334815</v>
      </c>
      <c r="P295">
        <v>211.23290176994036</v>
      </c>
      <c r="Q295">
        <v>72.040848806770782</v>
      </c>
      <c r="R295" t="s">
        <v>1013</v>
      </c>
      <c r="S295">
        <v>0.74847334893579709</v>
      </c>
      <c r="T295">
        <v>0.87535701146394262</v>
      </c>
      <c r="U295">
        <v>3.6838072058427143E-3</v>
      </c>
      <c r="V295">
        <v>0.35040680950161229</v>
      </c>
      <c r="W295">
        <v>-1.2410289644071782E-2</v>
      </c>
      <c r="X295">
        <v>0</v>
      </c>
      <c r="Y295">
        <v>-0.59695123275629103</v>
      </c>
      <c r="Z295">
        <v>0</v>
      </c>
      <c r="AA295">
        <v>3.6833704204840577E-2</v>
      </c>
      <c r="AB295">
        <v>-2.2403261554128484</v>
      </c>
      <c r="AC295">
        <v>149.18959834722801</v>
      </c>
      <c r="AD295">
        <v>1371.6701156334814</v>
      </c>
      <c r="AE295">
        <v>0.79628571894447919</v>
      </c>
      <c r="AF295">
        <v>86.253612711437967</v>
      </c>
      <c r="AG295">
        <v>50.913398851910195</v>
      </c>
      <c r="AH295">
        <v>116.95232872467039</v>
      </c>
      <c r="AI295">
        <v>23.287671275329615</v>
      </c>
      <c r="AJ295">
        <v>19.912105666705905</v>
      </c>
      <c r="AK295">
        <v>1.5278267473419658</v>
      </c>
      <c r="AL295">
        <v>-0.99727580961916829</v>
      </c>
      <c r="AM295">
        <v>-1.6408375531473212</v>
      </c>
      <c r="AN295">
        <v>3.5177541446790084E-2</v>
      </c>
      <c r="AO295">
        <v>0.71112079978548792</v>
      </c>
      <c r="AP295">
        <v>-11.245019117927923</v>
      </c>
      <c r="AQ295" t="s">
        <v>330</v>
      </c>
      <c r="AR295" t="s">
        <v>330</v>
      </c>
      <c r="AS295">
        <v>-11.245018999999999</v>
      </c>
      <c r="AT295">
        <v>1.069594980034227</v>
      </c>
      <c r="AU295">
        <v>15.525114183553068</v>
      </c>
      <c r="AV295">
        <v>15.525114183553068</v>
      </c>
      <c r="AW295">
        <v>0.55833333333333335</v>
      </c>
    </row>
    <row r="296" spans="2:49" ht="15" customHeight="1" x14ac:dyDescent="0.2">
      <c r="B296" t="s">
        <v>908</v>
      </c>
      <c r="C296" t="s">
        <v>909</v>
      </c>
      <c r="N296" t="s">
        <v>89</v>
      </c>
      <c r="O296">
        <v>100.90351501859602</v>
      </c>
      <c r="P296" t="s">
        <v>330</v>
      </c>
      <c r="Q296">
        <v>21.519233352798111</v>
      </c>
      <c r="R296" t="s">
        <v>1013</v>
      </c>
      <c r="S296" t="s">
        <v>330</v>
      </c>
      <c r="T296" t="s">
        <v>330</v>
      </c>
      <c r="U296" t="s">
        <v>330</v>
      </c>
      <c r="V296" t="s">
        <v>330</v>
      </c>
      <c r="W296" t="s">
        <v>330</v>
      </c>
      <c r="X296" t="s">
        <v>330</v>
      </c>
      <c r="Y296" t="s">
        <v>330</v>
      </c>
      <c r="Z296" t="s">
        <v>330</v>
      </c>
      <c r="AA296" t="s">
        <v>330</v>
      </c>
      <c r="AB296">
        <v>-1.0688279602600854</v>
      </c>
      <c r="AC296">
        <v>0</v>
      </c>
      <c r="AD296">
        <v>10090351.501859603</v>
      </c>
      <c r="AE296">
        <v>1.4956282903444531E-2</v>
      </c>
      <c r="AF296">
        <v>96.536604751916201</v>
      </c>
      <c r="AG296">
        <v>4.3669102666798425</v>
      </c>
      <c r="AH296">
        <v>80.979909025989997</v>
      </c>
      <c r="AI296">
        <v>21.002090974010002</v>
      </c>
      <c r="AJ296">
        <v>25.934940192720536</v>
      </c>
      <c r="AK296">
        <v>2.8567126664906679</v>
      </c>
      <c r="AL296">
        <v>-2.223986497140769</v>
      </c>
      <c r="AM296">
        <v>-2.9970541339185091</v>
      </c>
      <c r="AN296">
        <v>0.16100964307535651</v>
      </c>
      <c r="AO296">
        <v>2.2040723722368831</v>
      </c>
      <c r="AP296">
        <v>-0.66308500000000004</v>
      </c>
      <c r="AQ296">
        <v>-0.6738353460795321</v>
      </c>
      <c r="AR296" t="s">
        <v>330</v>
      </c>
      <c r="AS296">
        <v>-0.67383499999999996</v>
      </c>
      <c r="AT296">
        <v>0</v>
      </c>
      <c r="AU296">
        <v>0</v>
      </c>
      <c r="AV296">
        <v>0</v>
      </c>
      <c r="AW296">
        <v>0</v>
      </c>
    </row>
    <row r="297" spans="2:49" ht="15" customHeight="1" x14ac:dyDescent="0.2">
      <c r="B297" t="s">
        <v>910</v>
      </c>
      <c r="C297" t="s">
        <v>911</v>
      </c>
      <c r="N297" t="s">
        <v>89</v>
      </c>
      <c r="O297">
        <v>101.99632279718034</v>
      </c>
      <c r="P297" t="s">
        <v>330</v>
      </c>
      <c r="Q297">
        <v>22.798200213449984</v>
      </c>
      <c r="R297" t="s">
        <v>1013</v>
      </c>
      <c r="S297" t="s">
        <v>330</v>
      </c>
      <c r="T297" t="s">
        <v>330</v>
      </c>
      <c r="U297" t="s">
        <v>330</v>
      </c>
      <c r="V297" t="s">
        <v>330</v>
      </c>
      <c r="W297" t="s">
        <v>330</v>
      </c>
      <c r="X297" t="s">
        <v>330</v>
      </c>
      <c r="Y297" t="s">
        <v>330</v>
      </c>
      <c r="Z297" t="s">
        <v>330</v>
      </c>
      <c r="AA297" t="s">
        <v>330</v>
      </c>
      <c r="AB297">
        <v>-2.5360494691198476</v>
      </c>
      <c r="AC297">
        <v>0</v>
      </c>
      <c r="AD297">
        <v>10199632.279718034</v>
      </c>
      <c r="AE297">
        <v>2.1450946595883199E-2</v>
      </c>
      <c r="AF297">
        <v>93.600431937427146</v>
      </c>
      <c r="AG297">
        <v>8.3958908597531909</v>
      </c>
      <c r="AH297">
        <v>84.603960404500015</v>
      </c>
      <c r="AI297">
        <v>19.979039595499984</v>
      </c>
      <c r="AJ297">
        <v>23.614780561073257</v>
      </c>
      <c r="AK297">
        <v>4.5878297107360044</v>
      </c>
      <c r="AL297">
        <v>-3.2796359245549889</v>
      </c>
      <c r="AM297">
        <v>-4.7545228472005574</v>
      </c>
      <c r="AN297">
        <v>0.37543554969582416</v>
      </c>
      <c r="AO297">
        <v>3.215445257841838</v>
      </c>
      <c r="AP297">
        <v>-0.90068099999999995</v>
      </c>
      <c r="AQ297">
        <v>-0.91033781015690263</v>
      </c>
      <c r="AR297" t="s">
        <v>330</v>
      </c>
      <c r="AS297">
        <v>-0.91033799999999998</v>
      </c>
      <c r="AT297">
        <v>0</v>
      </c>
      <c r="AU297">
        <v>0</v>
      </c>
      <c r="AV297">
        <v>0</v>
      </c>
      <c r="AW297">
        <v>0</v>
      </c>
    </row>
    <row r="298" spans="2:49" ht="15" customHeight="1" x14ac:dyDescent="0.2">
      <c r="B298" t="s">
        <v>912</v>
      </c>
      <c r="C298" t="s">
        <v>913</v>
      </c>
      <c r="N298" t="s">
        <v>89</v>
      </c>
      <c r="O298">
        <v>112.33628695107403</v>
      </c>
      <c r="P298">
        <v>144.35912716341312</v>
      </c>
      <c r="Q298">
        <v>39.691140191615403</v>
      </c>
      <c r="R298" t="s">
        <v>1013</v>
      </c>
      <c r="S298">
        <v>0.73649511152204505</v>
      </c>
      <c r="T298">
        <v>0.79646203000593441</v>
      </c>
      <c r="U298">
        <v>6.9922573140371548E-3</v>
      </c>
      <c r="V298">
        <v>0.91935419906727966</v>
      </c>
      <c r="W298">
        <v>-4.5358857335336504E-3</v>
      </c>
      <c r="X298">
        <v>0.59148060252972956</v>
      </c>
      <c r="Y298">
        <v>-2.0486985708675371</v>
      </c>
      <c r="Z298">
        <v>0</v>
      </c>
      <c r="AA298">
        <v>8.8919348922191124E-2</v>
      </c>
      <c r="AB298">
        <v>-5.9239211385225028</v>
      </c>
      <c r="AC298">
        <v>0</v>
      </c>
      <c r="AD298">
        <v>11233628.695107402</v>
      </c>
      <c r="AE298">
        <v>1.6892089713805725E-2</v>
      </c>
      <c r="AF298">
        <v>83.144366050301471</v>
      </c>
      <c r="AG298">
        <v>29.191920900772562</v>
      </c>
      <c r="AH298">
        <v>108.14220183484466</v>
      </c>
      <c r="AI298">
        <v>10.848798165155344</v>
      </c>
      <c r="AJ298">
        <v>10.03197454932875</v>
      </c>
      <c r="AK298">
        <v>4.5069561538767493</v>
      </c>
      <c r="AL298">
        <v>-1.9968334996452555</v>
      </c>
      <c r="AM298">
        <v>-5.0712480160018432</v>
      </c>
      <c r="AN298">
        <v>0.32485679343384483</v>
      </c>
      <c r="AO298">
        <v>1.6781382622595453</v>
      </c>
      <c r="AP298">
        <v>-3.0405739999999999</v>
      </c>
      <c r="AQ298" t="s">
        <v>330</v>
      </c>
      <c r="AR298">
        <v>-4.6758389999999999</v>
      </c>
      <c r="AS298">
        <v>-3.0405739999999999</v>
      </c>
      <c r="AT298">
        <v>0</v>
      </c>
      <c r="AU298">
        <v>0</v>
      </c>
      <c r="AV298">
        <v>0</v>
      </c>
      <c r="AW298">
        <v>0</v>
      </c>
    </row>
    <row r="299" spans="2:49" ht="15" customHeight="1" x14ac:dyDescent="0.2">
      <c r="B299" t="s">
        <v>914</v>
      </c>
      <c r="C299" t="s">
        <v>915</v>
      </c>
      <c r="N299" t="s">
        <v>89</v>
      </c>
      <c r="O299">
        <v>104.22021052622797</v>
      </c>
      <c r="P299">
        <v>256.30206575992429</v>
      </c>
      <c r="Q299">
        <v>45.383415080425188</v>
      </c>
      <c r="R299" t="s">
        <v>1013</v>
      </c>
      <c r="S299">
        <v>0.58764112361925291</v>
      </c>
      <c r="T299">
        <v>0.50314537730853537</v>
      </c>
      <c r="U299">
        <v>6.7473431129732551E-3</v>
      </c>
      <c r="V299">
        <v>0.46595223585934492</v>
      </c>
      <c r="W299">
        <v>-4.5726360983735506E-4</v>
      </c>
      <c r="X299">
        <v>0.20336620128099622</v>
      </c>
      <c r="Y299">
        <v>-0.72095443096846246</v>
      </c>
      <c r="Z299">
        <v>0</v>
      </c>
      <c r="AA299">
        <v>8.4587474384636804E-2</v>
      </c>
      <c r="AB299">
        <v>-3.3868569790345395</v>
      </c>
      <c r="AC299">
        <v>141.52361854984929</v>
      </c>
      <c r="AD299">
        <v>1042.2021052622797</v>
      </c>
      <c r="AE299">
        <v>1.4956767911167423</v>
      </c>
      <c r="AF299">
        <v>87.18703048114125</v>
      </c>
      <c r="AG299">
        <v>17.033180045086716</v>
      </c>
      <c r="AH299">
        <v>85.621199246520987</v>
      </c>
      <c r="AI299">
        <v>22.128800753479013</v>
      </c>
      <c r="AJ299">
        <v>25.845002111878458</v>
      </c>
      <c r="AK299">
        <v>2.2106494746908387</v>
      </c>
      <c r="AL299">
        <v>-1.4743794396204066</v>
      </c>
      <c r="AM299">
        <v>-2.4945392885729234</v>
      </c>
      <c r="AN299">
        <v>3.9503442748915596E-2</v>
      </c>
      <c r="AO299">
        <v>1.3683335866546698</v>
      </c>
      <c r="AP299">
        <v>-0.466638</v>
      </c>
      <c r="AQ299" t="s">
        <v>330</v>
      </c>
      <c r="AR299" t="s">
        <v>330</v>
      </c>
      <c r="AS299">
        <v>-0.466638</v>
      </c>
      <c r="AT299">
        <v>2.0881670533642693</v>
      </c>
      <c r="AU299">
        <v>17.742895186232179</v>
      </c>
      <c r="AV299">
        <v>15.228259006864977</v>
      </c>
      <c r="AW299">
        <v>0.375</v>
      </c>
    </row>
    <row r="300" spans="2:49" ht="15" customHeight="1" x14ac:dyDescent="0.2">
      <c r="B300" t="s">
        <v>916</v>
      </c>
      <c r="C300" t="s">
        <v>917</v>
      </c>
      <c r="N300" t="s">
        <v>89</v>
      </c>
      <c r="O300">
        <v>110.21183806992376</v>
      </c>
      <c r="P300">
        <v>179.69248556914087</v>
      </c>
      <c r="Q300">
        <v>46.517604027538546</v>
      </c>
      <c r="R300" t="s">
        <v>1013</v>
      </c>
      <c r="S300">
        <v>0.61451764142183529</v>
      </c>
      <c r="T300">
        <v>0.48802943169157043</v>
      </c>
      <c r="U300">
        <v>5.1029933782987934E-3</v>
      </c>
      <c r="V300">
        <v>0.65841414349149996</v>
      </c>
      <c r="W300">
        <v>-1.1073639789537992E-3</v>
      </c>
      <c r="X300">
        <v>5.9339506345811699E-2</v>
      </c>
      <c r="Y300">
        <v>-1.6952123022896495</v>
      </c>
      <c r="Z300">
        <v>0</v>
      </c>
      <c r="AA300">
        <v>9.8043770072797534E-2</v>
      </c>
      <c r="AB300">
        <v>-4.2682909680643286</v>
      </c>
      <c r="AC300">
        <v>163.75064794685537</v>
      </c>
      <c r="AD300">
        <v>110211.83806992376</v>
      </c>
      <c r="AE300">
        <v>6.4012409211712491</v>
      </c>
      <c r="AF300">
        <v>91.826249089561969</v>
      </c>
      <c r="AG300">
        <v>18.385588980361788</v>
      </c>
      <c r="AH300">
        <v>79.416667447072172</v>
      </c>
      <c r="AI300">
        <v>35.499332552927825</v>
      </c>
      <c r="AJ300">
        <v>44.700103509866636</v>
      </c>
      <c r="AK300">
        <v>4.929318611330638</v>
      </c>
      <c r="AL300">
        <v>-2.8258033450405491</v>
      </c>
      <c r="AM300">
        <v>-4.1522156028152679</v>
      </c>
      <c r="AN300">
        <v>0.29097107453720533</v>
      </c>
      <c r="AO300">
        <v>2.4590164511822108</v>
      </c>
      <c r="AP300">
        <v>-0.58581197675886132</v>
      </c>
      <c r="AQ300" t="s">
        <v>330</v>
      </c>
      <c r="AR300">
        <v>-3.1514774026985823</v>
      </c>
      <c r="AS300">
        <v>-0.58581197675886132</v>
      </c>
      <c r="AT300">
        <v>1.69689164259111</v>
      </c>
      <c r="AU300">
        <v>0</v>
      </c>
      <c r="AV300">
        <v>0</v>
      </c>
      <c r="AW300">
        <v>0.42921195652173916</v>
      </c>
    </row>
    <row r="301" spans="2:49" ht="15" customHeight="1" x14ac:dyDescent="0.2">
      <c r="B301" t="s">
        <v>918</v>
      </c>
      <c r="C301" t="s">
        <v>919</v>
      </c>
      <c r="N301" t="s">
        <v>89</v>
      </c>
      <c r="O301">
        <v>106.74781100514855</v>
      </c>
      <c r="P301">
        <v>81.5504260419129</v>
      </c>
      <c r="Q301">
        <v>36.893408253829243</v>
      </c>
      <c r="R301" t="s">
        <v>1013</v>
      </c>
      <c r="S301">
        <v>0.63134269898677187</v>
      </c>
      <c r="T301">
        <v>0.64741643156589557</v>
      </c>
      <c r="U301">
        <v>1.9858060764269669E-2</v>
      </c>
      <c r="V301">
        <v>0.24737202083412058</v>
      </c>
      <c r="W301">
        <v>-1.9877288585121278E-2</v>
      </c>
      <c r="X301">
        <v>0</v>
      </c>
      <c r="Y301">
        <v>-0.23478712702648208</v>
      </c>
      <c r="Z301">
        <v>0</v>
      </c>
      <c r="AA301">
        <v>5.0321825679078194E-3</v>
      </c>
      <c r="AB301">
        <v>-1.4016109377449328</v>
      </c>
      <c r="AC301">
        <v>139.39628617839051</v>
      </c>
      <c r="AD301">
        <v>1067.4781100514854</v>
      </c>
      <c r="AE301">
        <v>0.1279482353402972</v>
      </c>
      <c r="AF301">
        <v>96.938043398361373</v>
      </c>
      <c r="AG301">
        <v>9.8097676067871706</v>
      </c>
      <c r="AH301">
        <v>102.54596000000002</v>
      </c>
      <c r="AI301">
        <v>5.6980399999999776</v>
      </c>
      <c r="AJ301">
        <v>5.5565719020037223</v>
      </c>
      <c r="AK301">
        <v>0.40768725561519525</v>
      </c>
      <c r="AL301">
        <v>-0.18232312046825427</v>
      </c>
      <c r="AM301">
        <v>-0.47699659475529188</v>
      </c>
      <c r="AN301">
        <v>-0.23585682983604384</v>
      </c>
      <c r="AO301">
        <v>0.16843716092185643</v>
      </c>
      <c r="AP301">
        <v>-18.166806999999999</v>
      </c>
      <c r="AQ301" t="s">
        <v>330</v>
      </c>
      <c r="AR301" t="s">
        <v>330</v>
      </c>
      <c r="AS301">
        <v>-18.166806999999999</v>
      </c>
      <c r="AT301">
        <v>0.23095968367761721</v>
      </c>
      <c r="AU301">
        <v>22.792159999999967</v>
      </c>
      <c r="AV301">
        <v>22.792159999999967</v>
      </c>
      <c r="AW301">
        <v>2.0833333333333332E-2</v>
      </c>
    </row>
    <row r="302" spans="2:49" ht="15" customHeight="1" x14ac:dyDescent="0.2">
      <c r="B302" t="s">
        <v>920</v>
      </c>
      <c r="C302" t="s">
        <v>921</v>
      </c>
      <c r="N302" t="s">
        <v>89</v>
      </c>
      <c r="O302">
        <v>91.819141347802798</v>
      </c>
      <c r="P302">
        <v>79.775192506450068</v>
      </c>
      <c r="Q302" t="s">
        <v>330</v>
      </c>
      <c r="R302" t="s">
        <v>1013</v>
      </c>
      <c r="S302">
        <v>4.2479099126787261E-2</v>
      </c>
      <c r="T302">
        <v>5.2466232455733244E-3</v>
      </c>
      <c r="U302">
        <v>9.3726493466675495E-4</v>
      </c>
      <c r="V302">
        <v>1.1268983659203969E-2</v>
      </c>
      <c r="W302">
        <v>1.2098589562231154E-2</v>
      </c>
      <c r="X302">
        <v>0</v>
      </c>
      <c r="Y302">
        <v>-5.4338700849004629E-3</v>
      </c>
      <c r="Z302">
        <v>0</v>
      </c>
      <c r="AA302">
        <v>1.4615799924037932E-2</v>
      </c>
      <c r="AB302">
        <v>-4.0153486496151247</v>
      </c>
      <c r="AC302">
        <v>157.7003402206247</v>
      </c>
      <c r="AD302">
        <v>918.19141347802793</v>
      </c>
      <c r="AE302">
        <v>1.3759910258598894E-2</v>
      </c>
      <c r="AF302">
        <v>92.241861761033903</v>
      </c>
      <c r="AG302">
        <v>-0.42272041323110443</v>
      </c>
      <c r="AH302">
        <v>12.351069945983888</v>
      </c>
      <c r="AI302">
        <v>83.15493005401612</v>
      </c>
      <c r="AJ302">
        <v>673.26094352704274</v>
      </c>
      <c r="AK302">
        <v>1.0742316321887346</v>
      </c>
      <c r="AL302">
        <v>-1.0039926125347165</v>
      </c>
      <c r="AM302">
        <v>-1.1846394612349513</v>
      </c>
      <c r="AN302">
        <v>5.7927073141648506E-3</v>
      </c>
      <c r="AO302">
        <v>1.0512351187723457</v>
      </c>
      <c r="AP302">
        <v>4.3009139999999997</v>
      </c>
      <c r="AQ302" t="s">
        <v>330</v>
      </c>
      <c r="AR302" t="s">
        <v>330</v>
      </c>
      <c r="AS302">
        <v>4.3009139999999997</v>
      </c>
      <c r="AT302">
        <v>0</v>
      </c>
      <c r="AU302">
        <v>0</v>
      </c>
      <c r="AV302">
        <v>0</v>
      </c>
      <c r="AW302">
        <v>0</v>
      </c>
    </row>
    <row r="303" spans="2:49" ht="15" customHeight="1" x14ac:dyDescent="0.2">
      <c r="B303" t="s">
        <v>922</v>
      </c>
      <c r="C303" t="s">
        <v>923</v>
      </c>
      <c r="N303" t="s">
        <v>89</v>
      </c>
      <c r="O303">
        <v>119.02016212331102</v>
      </c>
      <c r="P303" t="s">
        <v>330</v>
      </c>
      <c r="Q303">
        <v>0.1</v>
      </c>
      <c r="R303" t="s">
        <v>1013</v>
      </c>
      <c r="S303" t="s">
        <v>330</v>
      </c>
      <c r="T303" t="s">
        <v>330</v>
      </c>
      <c r="U303" t="s">
        <v>330</v>
      </c>
      <c r="V303" t="s">
        <v>330</v>
      </c>
      <c r="W303" t="s">
        <v>330</v>
      </c>
      <c r="X303" t="s">
        <v>330</v>
      </c>
      <c r="Y303" t="s">
        <v>330</v>
      </c>
      <c r="Z303" t="s">
        <v>330</v>
      </c>
      <c r="AA303" t="s">
        <v>330</v>
      </c>
      <c r="AB303">
        <v>0.96215809395770913</v>
      </c>
      <c r="AC303">
        <v>142.45064501272293</v>
      </c>
      <c r="AD303">
        <v>1190.2016212331102</v>
      </c>
      <c r="AE303">
        <v>1.0898914271895634</v>
      </c>
      <c r="AF303">
        <v>99.253280315514274</v>
      </c>
      <c r="AG303">
        <v>19.766881807796754</v>
      </c>
      <c r="AH303">
        <v>117.84993854743959</v>
      </c>
      <c r="AI303">
        <v>4.979749999999683E-2</v>
      </c>
      <c r="AJ303">
        <v>4.2263878137613918E-2</v>
      </c>
      <c r="AK303">
        <v>0.16426752211194234</v>
      </c>
      <c r="AL303">
        <v>-2.6322212363311337E-2</v>
      </c>
      <c r="AM303">
        <v>-0.19668571381794209</v>
      </c>
      <c r="AN303">
        <v>4.2013909532878906E-4</v>
      </c>
      <c r="AO303">
        <v>2.2115759123265324E-2</v>
      </c>
      <c r="AP303">
        <v>-92.528352999999996</v>
      </c>
      <c r="AQ303" t="s">
        <v>330</v>
      </c>
      <c r="AR303" t="s">
        <v>330</v>
      </c>
      <c r="AS303">
        <v>-92.528352999999996</v>
      </c>
      <c r="AT303">
        <v>0</v>
      </c>
      <c r="AU303">
        <v>0</v>
      </c>
      <c r="AV303">
        <v>0</v>
      </c>
      <c r="AW303">
        <v>0</v>
      </c>
    </row>
    <row r="304" spans="2:49" ht="15" customHeight="1" x14ac:dyDescent="0.2">
      <c r="B304" t="s">
        <v>323</v>
      </c>
      <c r="C304" t="s">
        <v>362</v>
      </c>
      <c r="N304" t="s">
        <v>89</v>
      </c>
      <c r="O304">
        <v>145.66312846955503</v>
      </c>
      <c r="P304">
        <v>146.6652575417809</v>
      </c>
      <c r="Q304">
        <v>36.88494913709102</v>
      </c>
      <c r="R304" t="s">
        <v>1013</v>
      </c>
      <c r="S304">
        <v>0.82497746575078268</v>
      </c>
      <c r="T304">
        <v>1.0837658696547421</v>
      </c>
      <c r="U304">
        <v>3.8848882670583407E-3</v>
      </c>
      <c r="V304">
        <v>0.42882559777646068</v>
      </c>
      <c r="W304">
        <v>5.2063527544305545E-3</v>
      </c>
      <c r="X304">
        <v>0</v>
      </c>
      <c r="Y304">
        <v>-1.1414018923596718</v>
      </c>
      <c r="Z304">
        <v>0</v>
      </c>
      <c r="AA304">
        <v>2.9713687153736235E-2</v>
      </c>
      <c r="AB304">
        <v>1.4417708116120764</v>
      </c>
      <c r="AC304">
        <v>142.73717518310303</v>
      </c>
      <c r="AD304">
        <v>1456.6312846955502</v>
      </c>
      <c r="AE304">
        <v>1.1377012877399471</v>
      </c>
      <c r="AF304">
        <v>91.556141592700357</v>
      </c>
      <c r="AG304">
        <v>54.10698687685467</v>
      </c>
      <c r="AH304">
        <v>131.3967131793213</v>
      </c>
      <c r="AI304">
        <v>12.166286820678692</v>
      </c>
      <c r="AJ304">
        <v>9.2592017915052196</v>
      </c>
      <c r="AK304">
        <v>1.8352669174584502</v>
      </c>
      <c r="AL304">
        <v>-0.87811714667964225</v>
      </c>
      <c r="AM304">
        <v>-2.1651195538427146</v>
      </c>
      <c r="AN304">
        <v>2.1502525204196321E-2</v>
      </c>
      <c r="AO304">
        <v>0.61165979164523054</v>
      </c>
      <c r="AP304">
        <v>-10.529742000000001</v>
      </c>
      <c r="AQ304" t="s">
        <v>330</v>
      </c>
      <c r="AR304" t="s">
        <v>330</v>
      </c>
      <c r="AS304">
        <v>-10.529742000000001</v>
      </c>
      <c r="AT304">
        <v>0.60948851723633535</v>
      </c>
      <c r="AU304">
        <v>13.904327795061363</v>
      </c>
      <c r="AV304">
        <v>13.904327795061363</v>
      </c>
      <c r="AW304">
        <v>0.32569444444444445</v>
      </c>
    </row>
    <row r="305" spans="2:49" ht="15" customHeight="1" x14ac:dyDescent="0.2">
      <c r="B305" t="s">
        <v>924</v>
      </c>
      <c r="C305" t="s">
        <v>925</v>
      </c>
      <c r="N305" t="s">
        <v>89</v>
      </c>
      <c r="O305">
        <v>97.049958873428309</v>
      </c>
      <c r="P305">
        <v>248.0051584435592</v>
      </c>
      <c r="Q305">
        <v>86.983026196797979</v>
      </c>
      <c r="R305" t="s">
        <v>1013</v>
      </c>
      <c r="S305">
        <v>5.4786658614834491E-2</v>
      </c>
      <c r="T305">
        <v>1.2383001769174236E-2</v>
      </c>
      <c r="U305">
        <v>1.6785204798437686E-3</v>
      </c>
      <c r="V305">
        <v>3.4337964958685914E-2</v>
      </c>
      <c r="W305">
        <v>1.2156070531797012E-2</v>
      </c>
      <c r="X305">
        <v>0</v>
      </c>
      <c r="Y305">
        <v>-2.7616693356585672E-2</v>
      </c>
      <c r="Z305">
        <v>0</v>
      </c>
      <c r="AA305">
        <v>4.7240264609180703E-2</v>
      </c>
      <c r="AB305">
        <v>-1.9969520328177222</v>
      </c>
      <c r="AC305">
        <v>154.01167542513548</v>
      </c>
      <c r="AD305">
        <v>97049.958873428317</v>
      </c>
      <c r="AE305">
        <v>0.13885163365862951</v>
      </c>
      <c r="AF305">
        <v>97.535416294022866</v>
      </c>
      <c r="AG305">
        <v>-0.48545742059455371</v>
      </c>
      <c r="AH305">
        <v>22.602221201753142</v>
      </c>
      <c r="AI305">
        <v>76.385778798246861</v>
      </c>
      <c r="AJ305">
        <v>337.95695616111391</v>
      </c>
      <c r="AK305">
        <v>2.8793814395426311</v>
      </c>
      <c r="AL305">
        <v>-1.1382413402347447</v>
      </c>
      <c r="AM305">
        <v>-1.3315230571250141</v>
      </c>
      <c r="AN305">
        <v>-0.11489868878236205</v>
      </c>
      <c r="AO305">
        <v>1.1498781066742885</v>
      </c>
      <c r="AP305">
        <v>3.4811414942199757</v>
      </c>
      <c r="AQ305" t="s">
        <v>330</v>
      </c>
      <c r="AR305">
        <v>4.7977916846318847</v>
      </c>
      <c r="AS305">
        <v>4.7977916846318847</v>
      </c>
      <c r="AT305">
        <v>2.3992807208954621</v>
      </c>
      <c r="AU305">
        <v>32.162433178209206</v>
      </c>
      <c r="AV305">
        <v>32.162433178209206</v>
      </c>
      <c r="AW305">
        <v>2.1732876712328766</v>
      </c>
    </row>
    <row r="306" spans="2:49" ht="15" customHeight="1" x14ac:dyDescent="0.2">
      <c r="B306" t="s">
        <v>926</v>
      </c>
      <c r="C306" t="s">
        <v>927</v>
      </c>
      <c r="N306" t="s">
        <v>89</v>
      </c>
      <c r="O306">
        <v>88.690229317760043</v>
      </c>
      <c r="P306">
        <v>546.4098510478924</v>
      </c>
      <c r="Q306" t="s">
        <v>330</v>
      </c>
      <c r="R306" t="s">
        <v>1013</v>
      </c>
      <c r="S306">
        <v>0.27534798384613307</v>
      </c>
      <c r="T306">
        <v>6.0869465803606651E-2</v>
      </c>
      <c r="U306">
        <v>3.1619564100446901E-3</v>
      </c>
      <c r="V306">
        <v>0.15279137208207977</v>
      </c>
      <c r="W306">
        <v>1.402799531960045E-2</v>
      </c>
      <c r="X306">
        <v>0</v>
      </c>
      <c r="Y306">
        <v>-0.29073734173254212</v>
      </c>
      <c r="Z306">
        <v>0</v>
      </c>
      <c r="AA306">
        <v>0.363752105886604</v>
      </c>
      <c r="AB306">
        <v>5.8408117304559806</v>
      </c>
      <c r="AC306">
        <v>177.77784175554544</v>
      </c>
      <c r="AD306">
        <v>88690.229317760037</v>
      </c>
      <c r="AE306">
        <v>0.6825470976335184</v>
      </c>
      <c r="AF306">
        <v>87.80573200720292</v>
      </c>
      <c r="AG306">
        <v>0.88449731055711167</v>
      </c>
      <c r="AH306">
        <v>22.10637788349344</v>
      </c>
      <c r="AI306">
        <v>61.403622116506568</v>
      </c>
      <c r="AJ306">
        <v>277.76428341232645</v>
      </c>
      <c r="AK306">
        <v>4.6412847167484514</v>
      </c>
      <c r="AL306">
        <v>-3.1904764608749248</v>
      </c>
      <c r="AM306">
        <v>-3.3913582878597661</v>
      </c>
      <c r="AN306">
        <v>-0.72044364427927754</v>
      </c>
      <c r="AO306">
        <v>3.8204723516643813</v>
      </c>
      <c r="AP306">
        <v>6.1411429406664526</v>
      </c>
      <c r="AQ306" t="s">
        <v>330</v>
      </c>
      <c r="AR306">
        <v>7.596188328962298</v>
      </c>
      <c r="AS306">
        <v>7.596188328962298</v>
      </c>
      <c r="AT306">
        <v>3.4427014728774998</v>
      </c>
      <c r="AU306">
        <v>21.357781605741415</v>
      </c>
      <c r="AV306">
        <v>21.357781605741415</v>
      </c>
      <c r="AW306">
        <v>1.0368852459016393</v>
      </c>
    </row>
    <row r="307" spans="2:49" ht="15" customHeight="1" x14ac:dyDescent="0.2">
      <c r="B307" t="s">
        <v>928</v>
      </c>
      <c r="C307" t="s">
        <v>929</v>
      </c>
      <c r="N307" t="s">
        <v>89</v>
      </c>
      <c r="O307">
        <v>121.77021594472625</v>
      </c>
      <c r="P307">
        <v>291.79533152842447</v>
      </c>
      <c r="Q307">
        <v>36.459404758974571</v>
      </c>
      <c r="R307" t="s">
        <v>1013</v>
      </c>
      <c r="S307">
        <v>0.79404991698141414</v>
      </c>
      <c r="T307">
        <v>0.93559837049363792</v>
      </c>
      <c r="U307">
        <v>8.4061621217166784E-3</v>
      </c>
      <c r="V307">
        <v>0.59170334182088025</v>
      </c>
      <c r="W307">
        <v>5.3056000496781051E-3</v>
      </c>
      <c r="X307">
        <v>0.21482505168115693</v>
      </c>
      <c r="Y307">
        <v>-0.96611314838920259</v>
      </c>
      <c r="Z307">
        <v>0</v>
      </c>
      <c r="AA307">
        <v>7.982097572324881E-2</v>
      </c>
      <c r="AB307">
        <v>-2.0980368930555402</v>
      </c>
      <c r="AC307">
        <v>0</v>
      </c>
      <c r="AD307">
        <v>1217.7021594472626</v>
      </c>
      <c r="AE307">
        <v>2.8815339010816055</v>
      </c>
      <c r="AF307">
        <v>94.453396939115336</v>
      </c>
      <c r="AG307">
        <v>27.31681900561092</v>
      </c>
      <c r="AH307">
        <v>117.88048609714508</v>
      </c>
      <c r="AI307">
        <v>6.4445139028549221</v>
      </c>
      <c r="AJ307">
        <v>5.46698958939142</v>
      </c>
      <c r="AK307">
        <v>2.1102713249838887</v>
      </c>
      <c r="AL307">
        <v>-0.9709299032861054</v>
      </c>
      <c r="AM307">
        <v>-2.4527583324231728</v>
      </c>
      <c r="AN307">
        <v>7.2330942830534997E-2</v>
      </c>
      <c r="AO307">
        <v>0.78096111263712475</v>
      </c>
      <c r="AP307">
        <v>-3.7319390000000001</v>
      </c>
      <c r="AQ307" t="s">
        <v>330</v>
      </c>
      <c r="AR307" t="s">
        <v>330</v>
      </c>
      <c r="AS307">
        <v>-3.7319390000000001</v>
      </c>
      <c r="AT307">
        <v>4.021717273275689</v>
      </c>
      <c r="AU307">
        <v>0</v>
      </c>
      <c r="AV307">
        <v>0</v>
      </c>
      <c r="AW307">
        <v>1.8611111111111114</v>
      </c>
    </row>
    <row r="308" spans="2:49" ht="15" customHeight="1" x14ac:dyDescent="0.2">
      <c r="B308" t="s">
        <v>930</v>
      </c>
      <c r="C308" t="s">
        <v>931</v>
      </c>
      <c r="N308" t="s">
        <v>89</v>
      </c>
      <c r="O308">
        <v>90.454730756132591</v>
      </c>
      <c r="P308" t="s">
        <v>330</v>
      </c>
      <c r="Q308">
        <v>30.975990855007101</v>
      </c>
      <c r="R308" t="s">
        <v>1013</v>
      </c>
      <c r="S308" t="s">
        <v>330</v>
      </c>
      <c r="T308" t="s">
        <v>330</v>
      </c>
      <c r="U308" t="s">
        <v>330</v>
      </c>
      <c r="V308" t="s">
        <v>330</v>
      </c>
      <c r="W308" t="s">
        <v>330</v>
      </c>
      <c r="X308" t="s">
        <v>330</v>
      </c>
      <c r="Y308" t="s">
        <v>330</v>
      </c>
      <c r="Z308" t="s">
        <v>330</v>
      </c>
      <c r="AA308" t="s">
        <v>330</v>
      </c>
      <c r="AB308">
        <v>-0.60723108595418684</v>
      </c>
      <c r="AC308">
        <v>134.49986846994392</v>
      </c>
      <c r="AD308">
        <v>90454.730756132587</v>
      </c>
      <c r="AE308">
        <v>2.1859395041749319</v>
      </c>
      <c r="AF308">
        <v>86.058992329635956</v>
      </c>
      <c r="AG308">
        <v>4.3957384264966235</v>
      </c>
      <c r="AH308">
        <v>77.162018481933018</v>
      </c>
      <c r="AI308">
        <v>13.64502368569606</v>
      </c>
      <c r="AJ308">
        <v>17.63857839878505</v>
      </c>
      <c r="AK308">
        <v>0.70006498405614959</v>
      </c>
      <c r="AL308">
        <v>-0.43673335463143304</v>
      </c>
      <c r="AM308">
        <v>-0.73287691666817412</v>
      </c>
      <c r="AN308">
        <v>6.3079018566837373E-3</v>
      </c>
      <c r="AO308">
        <v>0.48281980497943566</v>
      </c>
      <c r="AP308">
        <v>-3.7922071962116326</v>
      </c>
      <c r="AQ308" t="s">
        <v>330</v>
      </c>
      <c r="AR308">
        <v>-3.7922071962116326</v>
      </c>
      <c r="AS308">
        <v>-3.7922069999999999</v>
      </c>
      <c r="AT308">
        <v>0</v>
      </c>
      <c r="AU308">
        <v>0</v>
      </c>
      <c r="AV308">
        <v>0</v>
      </c>
      <c r="AW308">
        <v>0</v>
      </c>
    </row>
    <row r="309" spans="2:49" ht="15" customHeight="1" x14ac:dyDescent="0.2">
      <c r="B309" t="s">
        <v>932</v>
      </c>
      <c r="C309" t="s">
        <v>933</v>
      </c>
      <c r="N309" t="s">
        <v>89</v>
      </c>
      <c r="O309">
        <v>93.637196987146964</v>
      </c>
      <c r="P309">
        <v>0.66947141298817447</v>
      </c>
      <c r="Q309">
        <v>137.90634096807199</v>
      </c>
      <c r="R309" t="s">
        <v>1013</v>
      </c>
      <c r="S309">
        <v>2.3454300183402743E-4</v>
      </c>
      <c r="T309">
        <v>6.0253220161656844E-5</v>
      </c>
      <c r="U309">
        <v>2.3698638197424878E-5</v>
      </c>
      <c r="V309">
        <v>2.0324453168427681E-4</v>
      </c>
      <c r="W309">
        <v>1.1320831328885107E-2</v>
      </c>
      <c r="X309">
        <v>0</v>
      </c>
      <c r="Y309">
        <v>-1.4302221833027064E-4</v>
      </c>
      <c r="Z309">
        <v>0</v>
      </c>
      <c r="AA309">
        <v>9.6248541002938958E-5</v>
      </c>
      <c r="AB309">
        <v>-3.8732502996120881</v>
      </c>
      <c r="AC309">
        <v>142.1320833404348</v>
      </c>
      <c r="AD309">
        <v>936.37196987146967</v>
      </c>
      <c r="AE309">
        <v>3.5860055928806024E-4</v>
      </c>
      <c r="AF309">
        <v>94.103009940329756</v>
      </c>
      <c r="AG309">
        <v>-0.46581295318278537</v>
      </c>
      <c r="AH309">
        <v>25.712325853614807</v>
      </c>
      <c r="AI309">
        <v>71.551674146385182</v>
      </c>
      <c r="AJ309">
        <v>278.27772000768249</v>
      </c>
      <c r="AK309">
        <v>0.83009863621768132</v>
      </c>
      <c r="AL309">
        <v>-0.79464434208028933</v>
      </c>
      <c r="AM309">
        <v>-0.93383149331350523</v>
      </c>
      <c r="AN309">
        <v>-4.3715033623349881E-3</v>
      </c>
      <c r="AO309">
        <v>0.81699739068955557</v>
      </c>
      <c r="AP309">
        <v>3.6234372409997797</v>
      </c>
      <c r="AQ309" t="s">
        <v>330</v>
      </c>
      <c r="AR309" t="s">
        <v>330</v>
      </c>
      <c r="AS309">
        <v>3.623437</v>
      </c>
      <c r="AT309">
        <v>0.25703240664582994</v>
      </c>
      <c r="AU309">
        <v>286.20669658554078</v>
      </c>
      <c r="AV309">
        <v>286.20669658554078</v>
      </c>
      <c r="AW309">
        <v>4.1666666666666664E-2</v>
      </c>
    </row>
    <row r="310" spans="2:49" ht="15" customHeight="1" x14ac:dyDescent="0.2">
      <c r="B310" t="s">
        <v>934</v>
      </c>
      <c r="C310" t="s">
        <v>935</v>
      </c>
      <c r="N310" t="s">
        <v>89</v>
      </c>
      <c r="O310">
        <v>97.882304694634598</v>
      </c>
      <c r="P310">
        <v>90.919428927431468</v>
      </c>
      <c r="Q310">
        <v>106.17830721772967</v>
      </c>
      <c r="R310" t="s">
        <v>1013</v>
      </c>
      <c r="S310">
        <v>4.39065827906505E-4</v>
      </c>
      <c r="T310">
        <v>1.9264127086853749E-4</v>
      </c>
      <c r="U310">
        <v>6.5538873450545813E-5</v>
      </c>
      <c r="V310">
        <v>3.3663908765788617E-4</v>
      </c>
      <c r="W310">
        <v>1.4240744913570325E-2</v>
      </c>
      <c r="X310">
        <v>2.1966155836913366E-6</v>
      </c>
      <c r="Y310">
        <v>-6.5263252014584154E-4</v>
      </c>
      <c r="Z310">
        <v>0</v>
      </c>
      <c r="AA310">
        <v>3.7897693661741432E-3</v>
      </c>
      <c r="AB310">
        <v>-0.89668434770060901</v>
      </c>
      <c r="AC310">
        <v>0</v>
      </c>
      <c r="AD310">
        <v>978.82304694634604</v>
      </c>
      <c r="AE310">
        <v>2.8959887804723872E-4</v>
      </c>
      <c r="AF310">
        <v>98.038323222496317</v>
      </c>
      <c r="AG310">
        <v>-0.15601852786171549</v>
      </c>
      <c r="AH310">
        <v>43.875259385833751</v>
      </c>
      <c r="AI310">
        <v>54.884740614166255</v>
      </c>
      <c r="AJ310">
        <v>125.0926863622992</v>
      </c>
      <c r="AK310">
        <v>0.24884579016588065</v>
      </c>
      <c r="AL310">
        <v>-0.2467601620573987</v>
      </c>
      <c r="AM310">
        <v>-0.29155333281369167</v>
      </c>
      <c r="AN310">
        <v>-0.11995737519824864</v>
      </c>
      <c r="AO310">
        <v>0.24985840629546244</v>
      </c>
      <c r="AP310">
        <v>5.0787060000000004</v>
      </c>
      <c r="AQ310" t="s">
        <v>330</v>
      </c>
      <c r="AR310" t="s">
        <v>330</v>
      </c>
      <c r="AS310">
        <v>5.0787060000000004</v>
      </c>
      <c r="AT310">
        <v>0</v>
      </c>
      <c r="AU310">
        <v>0</v>
      </c>
      <c r="AV310">
        <v>0</v>
      </c>
      <c r="AW310">
        <v>0</v>
      </c>
    </row>
    <row r="311" spans="2:49" ht="15" customHeight="1" x14ac:dyDescent="0.2">
      <c r="B311" t="s">
        <v>936</v>
      </c>
      <c r="C311" t="s">
        <v>937</v>
      </c>
      <c r="N311" t="s">
        <v>89</v>
      </c>
      <c r="O311">
        <v>92.134954751389159</v>
      </c>
      <c r="P311">
        <v>245.51524291550737</v>
      </c>
      <c r="Q311">
        <v>74.937805902490069</v>
      </c>
      <c r="R311" t="s">
        <v>1013</v>
      </c>
      <c r="S311">
        <v>0.14120838839534375</v>
      </c>
      <c r="T311">
        <v>4.9808284338722017E-2</v>
      </c>
      <c r="U311">
        <v>3.1849603048882871E-3</v>
      </c>
      <c r="V311">
        <v>0.10426973741120946</v>
      </c>
      <c r="W311">
        <v>1.3853326320474934E-2</v>
      </c>
      <c r="X311">
        <v>5.0815053660424212E-3</v>
      </c>
      <c r="Y311">
        <v>-8.8214375239298357E-2</v>
      </c>
      <c r="Z311">
        <v>0</v>
      </c>
      <c r="AA311">
        <v>8.4610459634816421E-2</v>
      </c>
      <c r="AB311">
        <v>-3.652300321512997</v>
      </c>
      <c r="AC311">
        <v>144.98626289724294</v>
      </c>
      <c r="AD311">
        <v>921.34954751389159</v>
      </c>
      <c r="AE311">
        <v>7.4876985526116505E-2</v>
      </c>
      <c r="AF311">
        <v>91.883301075788779</v>
      </c>
      <c r="AG311">
        <v>0.25165367560038021</v>
      </c>
      <c r="AH311">
        <v>35.272893419952396</v>
      </c>
      <c r="AI311">
        <v>60.227106580047604</v>
      </c>
      <c r="AJ311">
        <v>170.74614736873176</v>
      </c>
      <c r="AK311">
        <v>2.0557186894587134</v>
      </c>
      <c r="AL311">
        <v>-1.8394724801603957</v>
      </c>
      <c r="AM311">
        <v>-2.2379702343723693</v>
      </c>
      <c r="AN311">
        <v>-1.4259463551914505E-2</v>
      </c>
      <c r="AO311">
        <v>1.9261491938852311</v>
      </c>
      <c r="AP311">
        <v>5.4812849999999997</v>
      </c>
      <c r="AQ311" t="s">
        <v>330</v>
      </c>
      <c r="AR311" t="s">
        <v>330</v>
      </c>
      <c r="AS311">
        <v>5.4812849999999997</v>
      </c>
      <c r="AT311">
        <v>3.4031413612565444</v>
      </c>
      <c r="AU311">
        <v>0</v>
      </c>
      <c r="AV311">
        <v>40.953945282329066</v>
      </c>
      <c r="AW311">
        <v>1.0833333333333335</v>
      </c>
    </row>
    <row r="312" spans="2:49" ht="15" customHeight="1" x14ac:dyDescent="0.2">
      <c r="B312" t="s">
        <v>938</v>
      </c>
      <c r="C312" t="s">
        <v>939</v>
      </c>
      <c r="N312" t="s">
        <v>89</v>
      </c>
      <c r="O312">
        <v>128.35953848027435</v>
      </c>
      <c r="P312">
        <v>1344.8019443134476</v>
      </c>
      <c r="Q312">
        <v>56.105253576059454</v>
      </c>
      <c r="R312" t="s">
        <v>1013</v>
      </c>
      <c r="S312">
        <v>0.77921881360637701</v>
      </c>
      <c r="T312">
        <v>0.54488665629433097</v>
      </c>
      <c r="U312">
        <v>1.9132187966474721E-3</v>
      </c>
      <c r="V312">
        <v>0.34735879457698504</v>
      </c>
      <c r="W312">
        <v>5.4226939947056964E-3</v>
      </c>
      <c r="X312">
        <v>0</v>
      </c>
      <c r="Y312">
        <v>-1.0954353130510852</v>
      </c>
      <c r="Z312">
        <v>0</v>
      </c>
      <c r="AA312">
        <v>0.37990758837329314</v>
      </c>
      <c r="AB312">
        <v>15.380655550820835</v>
      </c>
      <c r="AC312">
        <v>161.94667080763196</v>
      </c>
      <c r="AD312">
        <v>1283.5953848027434</v>
      </c>
      <c r="AE312">
        <v>5.6697284341454806</v>
      </c>
      <c r="AF312">
        <v>89.22478839559767</v>
      </c>
      <c r="AG312">
        <v>39.134750084676675</v>
      </c>
      <c r="AH312">
        <v>70.036390732297903</v>
      </c>
      <c r="AI312">
        <v>38.580609267702101</v>
      </c>
      <c r="AJ312">
        <v>55.086518400369698</v>
      </c>
      <c r="AK312">
        <v>2.5367993467378276</v>
      </c>
      <c r="AL312">
        <v>-1.1853532401632947</v>
      </c>
      <c r="AM312">
        <v>-1.6546814120347335</v>
      </c>
      <c r="AN312">
        <v>6.7754387550680334E-2</v>
      </c>
      <c r="AO312">
        <v>1.091314656235483</v>
      </c>
      <c r="AP312">
        <v>0.54116233119801338</v>
      </c>
      <c r="AQ312" t="s">
        <v>330</v>
      </c>
      <c r="AR312">
        <v>-0.9482462342617004</v>
      </c>
      <c r="AS312">
        <v>0.54116200000000003</v>
      </c>
      <c r="AT312">
        <v>2.3016654851450506</v>
      </c>
      <c r="AU312">
        <v>15.432243707080843</v>
      </c>
      <c r="AV312">
        <v>15.432243707080843</v>
      </c>
      <c r="AW312">
        <v>9.7222222222222224E-2</v>
      </c>
    </row>
    <row r="313" spans="2:49" ht="15" customHeight="1" x14ac:dyDescent="0.2">
      <c r="B313" t="s">
        <v>940</v>
      </c>
      <c r="C313" t="s">
        <v>941</v>
      </c>
      <c r="N313" t="s">
        <v>89</v>
      </c>
      <c r="O313">
        <v>91.960849653139618</v>
      </c>
      <c r="P313">
        <v>385.94525147415084</v>
      </c>
      <c r="Q313">
        <v>51.193095167389515</v>
      </c>
      <c r="R313" t="s">
        <v>1013</v>
      </c>
      <c r="S313">
        <v>0.5373901511177549</v>
      </c>
      <c r="T313">
        <v>0.30258938307866406</v>
      </c>
      <c r="U313">
        <v>4.2315306230502467E-3</v>
      </c>
      <c r="V313">
        <v>0.38367645263599004</v>
      </c>
      <c r="W313">
        <v>5.4609438731745286E-3</v>
      </c>
      <c r="X313">
        <v>0.33437666419086748</v>
      </c>
      <c r="Y313">
        <v>-0.84524671609822999</v>
      </c>
      <c r="Z313">
        <v>0</v>
      </c>
      <c r="AA313">
        <v>0.24686723962423004</v>
      </c>
      <c r="AB313">
        <v>-0.52429957822156592</v>
      </c>
      <c r="AC313">
        <v>145.1989365188023</v>
      </c>
      <c r="AD313">
        <v>919.60849653139621</v>
      </c>
      <c r="AE313">
        <v>1.7809044999333816</v>
      </c>
      <c r="AF313">
        <v>79.146299490817597</v>
      </c>
      <c r="AG313">
        <v>12.814550162322019</v>
      </c>
      <c r="AH313">
        <v>56.274045023021692</v>
      </c>
      <c r="AI313">
        <v>36.152370985012055</v>
      </c>
      <c r="AJ313">
        <v>64.224492811025655</v>
      </c>
      <c r="AK313">
        <v>3.7528983918462808</v>
      </c>
      <c r="AL313">
        <v>-2.6112477794832785</v>
      </c>
      <c r="AM313">
        <v>-3.4335816848874856</v>
      </c>
      <c r="AN313">
        <v>0.2703322048442765</v>
      </c>
      <c r="AO313">
        <v>2.8247112052651673</v>
      </c>
      <c r="AP313">
        <v>3.9570059999999998</v>
      </c>
      <c r="AQ313" t="s">
        <v>330</v>
      </c>
      <c r="AR313" t="s">
        <v>330</v>
      </c>
      <c r="AS313">
        <v>3.9570059999999998</v>
      </c>
      <c r="AT313">
        <v>2.4339322609608085</v>
      </c>
      <c r="AU313">
        <v>0</v>
      </c>
      <c r="AV313">
        <v>47.646812700417904</v>
      </c>
      <c r="AW313">
        <v>0.1875</v>
      </c>
    </row>
    <row r="314" spans="2:49" ht="15" customHeight="1" x14ac:dyDescent="0.2">
      <c r="B314" t="s">
        <v>942</v>
      </c>
      <c r="C314" t="s">
        <v>943</v>
      </c>
      <c r="N314" t="s">
        <v>89</v>
      </c>
      <c r="O314">
        <v>127.28511721294649</v>
      </c>
      <c r="P314" t="s">
        <v>330</v>
      </c>
      <c r="Q314" t="s">
        <v>330</v>
      </c>
      <c r="R314" t="s">
        <v>1013</v>
      </c>
      <c r="S314" t="s">
        <v>330</v>
      </c>
      <c r="T314" t="s">
        <v>330</v>
      </c>
      <c r="U314" t="s">
        <v>330</v>
      </c>
      <c r="V314" t="s">
        <v>330</v>
      </c>
      <c r="W314" t="s">
        <v>330</v>
      </c>
      <c r="X314" t="s">
        <v>330</v>
      </c>
      <c r="Y314" t="s">
        <v>330</v>
      </c>
      <c r="Z314" t="s">
        <v>330</v>
      </c>
      <c r="AA314" t="s">
        <v>330</v>
      </c>
      <c r="AB314">
        <v>1.5752958844292457</v>
      </c>
      <c r="AC314">
        <v>0</v>
      </c>
      <c r="AD314">
        <v>1272.8511721294649</v>
      </c>
      <c r="AE314">
        <v>1.6874540952384192</v>
      </c>
      <c r="AF314">
        <v>99.661363783060168</v>
      </c>
      <c r="AG314">
        <v>27.623753429886321</v>
      </c>
      <c r="AH314">
        <v>125.40476412506102</v>
      </c>
      <c r="AI314">
        <v>-0.12476412506102008</v>
      </c>
      <c r="AJ314">
        <v>-9.9489142961584731E-2</v>
      </c>
      <c r="AK314">
        <v>0.51375521493198539</v>
      </c>
      <c r="AL314">
        <v>-8.8570060168535747E-2</v>
      </c>
      <c r="AM314">
        <v>-0.77158665812862637</v>
      </c>
      <c r="AN314">
        <v>3.8853553977922892E-3</v>
      </c>
      <c r="AO314">
        <v>6.958398759248427E-2</v>
      </c>
      <c r="AP314">
        <v>-29.902932</v>
      </c>
      <c r="AQ314" t="s">
        <v>330</v>
      </c>
      <c r="AR314" t="s">
        <v>330</v>
      </c>
      <c r="AS314">
        <v>-29.902932</v>
      </c>
      <c r="AT314">
        <v>2.9932950191570882</v>
      </c>
      <c r="AU314">
        <v>0</v>
      </c>
      <c r="AV314">
        <v>0</v>
      </c>
      <c r="AW314">
        <v>1.3958333333333333</v>
      </c>
    </row>
    <row r="315" spans="2:49" ht="15" customHeight="1" x14ac:dyDescent="0.2">
      <c r="B315" t="s">
        <v>944</v>
      </c>
      <c r="C315" t="s">
        <v>945</v>
      </c>
      <c r="N315" t="s">
        <v>89</v>
      </c>
      <c r="O315">
        <v>140.29303602346158</v>
      </c>
      <c r="P315" t="s">
        <v>330</v>
      </c>
      <c r="Q315" t="s">
        <v>330</v>
      </c>
      <c r="R315" t="s">
        <v>1013</v>
      </c>
      <c r="S315" t="s">
        <v>330</v>
      </c>
      <c r="T315" t="s">
        <v>330</v>
      </c>
      <c r="U315" t="s">
        <v>330</v>
      </c>
      <c r="V315" t="s">
        <v>330</v>
      </c>
      <c r="W315" t="s">
        <v>330</v>
      </c>
      <c r="X315" t="s">
        <v>330</v>
      </c>
      <c r="Y315" t="s">
        <v>330</v>
      </c>
      <c r="Z315" t="s">
        <v>330</v>
      </c>
      <c r="AA315" t="s">
        <v>330</v>
      </c>
      <c r="AB315">
        <v>3.1790858262670425</v>
      </c>
      <c r="AC315">
        <v>151.11260159677491</v>
      </c>
      <c r="AD315">
        <v>1402.9303602346158</v>
      </c>
      <c r="AE315">
        <v>0.81007499510036407</v>
      </c>
      <c r="AF315">
        <v>92.718265996862371</v>
      </c>
      <c r="AG315">
        <v>47.574770026599182</v>
      </c>
      <c r="AH315">
        <v>128.87494915473937</v>
      </c>
      <c r="AI315">
        <v>6.9580508452606296</v>
      </c>
      <c r="AJ315">
        <v>5.3990716511601802</v>
      </c>
      <c r="AK315">
        <v>0.17460867182272832</v>
      </c>
      <c r="AL315">
        <v>-0.12491549232129273</v>
      </c>
      <c r="AM315">
        <v>-0.18765886292362666</v>
      </c>
      <c r="AN315">
        <v>4.1218335949992271E-3</v>
      </c>
      <c r="AO315">
        <v>8.9038982876101402E-2</v>
      </c>
      <c r="AP315">
        <v>-12.690103000000001</v>
      </c>
      <c r="AQ315" t="s">
        <v>330</v>
      </c>
      <c r="AR315" t="s">
        <v>330</v>
      </c>
      <c r="AS315">
        <v>-12.690103000000001</v>
      </c>
      <c r="AT315">
        <v>2.3926439083286097</v>
      </c>
      <c r="AU315">
        <v>2.1409387216186517</v>
      </c>
      <c r="AV315">
        <v>2.1409387216186517</v>
      </c>
      <c r="AW315">
        <v>0.27083333333333337</v>
      </c>
    </row>
    <row r="316" spans="2:49" ht="15" customHeight="1" x14ac:dyDescent="0.2">
      <c r="B316" t="s">
        <v>946</v>
      </c>
      <c r="C316" t="s">
        <v>947</v>
      </c>
      <c r="N316" t="s">
        <v>89</v>
      </c>
      <c r="O316">
        <v>191.80903107339978</v>
      </c>
      <c r="P316">
        <v>268.06492548373535</v>
      </c>
      <c r="Q316">
        <v>77.799589690285345</v>
      </c>
      <c r="R316" t="s">
        <v>1013</v>
      </c>
      <c r="S316">
        <v>0.87036254078954167</v>
      </c>
      <c r="T316">
        <v>1.5540180085299398</v>
      </c>
      <c r="U316">
        <v>2.812926629907776E-3</v>
      </c>
      <c r="V316">
        <v>0.31988068322428942</v>
      </c>
      <c r="W316">
        <v>7.6525649328004876E-3</v>
      </c>
      <c r="X316">
        <v>0</v>
      </c>
      <c r="Y316">
        <v>-0.53942434811419393</v>
      </c>
      <c r="Z316">
        <v>0</v>
      </c>
      <c r="AA316">
        <v>2.2717327270687582E-2</v>
      </c>
      <c r="AB316">
        <v>-0.97126236245223596</v>
      </c>
      <c r="AC316">
        <v>151.94963318389421</v>
      </c>
      <c r="AD316">
        <v>1918.090310733998</v>
      </c>
      <c r="AE316">
        <v>1.9003564097893679</v>
      </c>
      <c r="AF316">
        <v>89.571747772424644</v>
      </c>
      <c r="AG316">
        <v>102.23728330097515</v>
      </c>
      <c r="AH316">
        <v>178.54835608161926</v>
      </c>
      <c r="AI316">
        <v>15.123643918380736</v>
      </c>
      <c r="AJ316">
        <v>8.4703350119153775</v>
      </c>
      <c r="AK316">
        <v>1.0466933039959787</v>
      </c>
      <c r="AL316">
        <v>-0.58667077038558091</v>
      </c>
      <c r="AM316">
        <v>-1.452197808414212</v>
      </c>
      <c r="AN316">
        <v>-4.2223946303042569E-2</v>
      </c>
      <c r="AO316">
        <v>0.3029197666082763</v>
      </c>
      <c r="AP316">
        <v>-17.928901359149034</v>
      </c>
      <c r="AQ316" t="s">
        <v>330</v>
      </c>
      <c r="AR316" t="s">
        <v>330</v>
      </c>
      <c r="AS316">
        <v>-17.928901</v>
      </c>
      <c r="AT316">
        <v>1.8071791482506505</v>
      </c>
      <c r="AU316">
        <v>4.3210411195373579</v>
      </c>
      <c r="AV316">
        <v>4.3210411195373579</v>
      </c>
      <c r="AW316">
        <v>1.4583333333333335</v>
      </c>
    </row>
    <row r="317" spans="2:49" ht="15" customHeight="1" x14ac:dyDescent="0.2">
      <c r="B317" t="s">
        <v>948</v>
      </c>
      <c r="C317" t="s">
        <v>949</v>
      </c>
      <c r="N317" t="s">
        <v>89</v>
      </c>
      <c r="O317">
        <v>312.78786941750298</v>
      </c>
      <c r="P317" t="s">
        <v>330</v>
      </c>
      <c r="Q317" t="s">
        <v>330</v>
      </c>
      <c r="R317" t="s">
        <v>1013</v>
      </c>
      <c r="S317" t="s">
        <v>330</v>
      </c>
      <c r="T317" t="s">
        <v>330</v>
      </c>
      <c r="U317" t="s">
        <v>330</v>
      </c>
      <c r="V317" t="s">
        <v>330</v>
      </c>
      <c r="W317" t="s">
        <v>330</v>
      </c>
      <c r="X317" t="s">
        <v>330</v>
      </c>
      <c r="Y317" t="s">
        <v>330</v>
      </c>
      <c r="Z317" t="s">
        <v>330</v>
      </c>
      <c r="AA317" t="s">
        <v>330</v>
      </c>
      <c r="AB317">
        <v>2.0646163259238204</v>
      </c>
      <c r="AC317">
        <v>142.71896379681928</v>
      </c>
      <c r="AD317">
        <v>3127.8786941750295</v>
      </c>
      <c r="AE317">
        <v>2.535317383862405</v>
      </c>
      <c r="AF317">
        <v>97.081409486112094</v>
      </c>
      <c r="AG317">
        <v>215.70645993139092</v>
      </c>
      <c r="AH317">
        <v>304.14780356094366</v>
      </c>
      <c r="AI317">
        <v>2.0370302835845564</v>
      </c>
      <c r="AJ317">
        <v>0.66943061007388982</v>
      </c>
      <c r="AK317">
        <v>1.2338379009272855</v>
      </c>
      <c r="AL317">
        <v>-0.53415780336740681</v>
      </c>
      <c r="AM317">
        <v>-2.2949885148304929</v>
      </c>
      <c r="AN317">
        <v>-1.1148466428935486</v>
      </c>
      <c r="AO317">
        <v>0.17077318387127849</v>
      </c>
      <c r="AP317">
        <v>-31.591507</v>
      </c>
      <c r="AQ317" t="s">
        <v>330</v>
      </c>
      <c r="AR317" t="s">
        <v>330</v>
      </c>
      <c r="AS317">
        <v>-31.591507</v>
      </c>
      <c r="AT317">
        <v>0.97933601018509464</v>
      </c>
      <c r="AU317">
        <v>3.5864269918697809</v>
      </c>
      <c r="AV317">
        <v>3.4887439323136142</v>
      </c>
      <c r="AW317">
        <v>1.25</v>
      </c>
    </row>
    <row r="318" spans="2:49" ht="15" customHeight="1" x14ac:dyDescent="0.2">
      <c r="B318" t="s">
        <v>950</v>
      </c>
      <c r="C318" t="s">
        <v>951</v>
      </c>
      <c r="N318" t="s">
        <v>89</v>
      </c>
      <c r="O318">
        <v>124.18592192959902</v>
      </c>
      <c r="P318" t="s">
        <v>330</v>
      </c>
      <c r="Q318">
        <v>15.827983054928533</v>
      </c>
      <c r="R318" t="s">
        <v>1013</v>
      </c>
      <c r="S318" t="s">
        <v>330</v>
      </c>
      <c r="T318" t="s">
        <v>330</v>
      </c>
      <c r="U318" t="s">
        <v>330</v>
      </c>
      <c r="V318" t="s">
        <v>330</v>
      </c>
      <c r="W318" t="s">
        <v>330</v>
      </c>
      <c r="X318" t="s">
        <v>330</v>
      </c>
      <c r="Y318" t="s">
        <v>330</v>
      </c>
      <c r="Z318" t="s">
        <v>330</v>
      </c>
      <c r="AA318" t="s">
        <v>330</v>
      </c>
      <c r="AB318">
        <v>2.1209504979897544</v>
      </c>
      <c r="AC318">
        <v>0</v>
      </c>
      <c r="AD318">
        <v>1241.8592192959902</v>
      </c>
      <c r="AE318">
        <v>0.81138415554896548</v>
      </c>
      <c r="AF318">
        <v>100.78100229396355</v>
      </c>
      <c r="AG318">
        <v>23.404919635635473</v>
      </c>
      <c r="AH318">
        <v>118.36319500762939</v>
      </c>
      <c r="AI318">
        <v>3.1888049923706205</v>
      </c>
      <c r="AJ318">
        <v>2.6940849240890112</v>
      </c>
      <c r="AK318">
        <v>1.5788796160196361</v>
      </c>
      <c r="AL318">
        <v>-0.50488246659574543</v>
      </c>
      <c r="AM318">
        <v>-1.7851638552224358</v>
      </c>
      <c r="AN318">
        <v>3.4498720753304242E-2</v>
      </c>
      <c r="AO318">
        <v>0.40655370492153153</v>
      </c>
      <c r="AP318">
        <v>-7.8003640000000001</v>
      </c>
      <c r="AQ318" t="s">
        <v>330</v>
      </c>
      <c r="AR318" t="s">
        <v>330</v>
      </c>
      <c r="AS318">
        <v>-7.8003640000000001</v>
      </c>
      <c r="AT318">
        <v>3.599282611557193</v>
      </c>
      <c r="AU318">
        <v>0</v>
      </c>
      <c r="AV318">
        <v>22.077947850770443</v>
      </c>
      <c r="AW318">
        <v>1.6284722222222221</v>
      </c>
    </row>
    <row r="319" spans="2:49" ht="15" customHeight="1" x14ac:dyDescent="0.2">
      <c r="B319" t="s">
        <v>952</v>
      </c>
      <c r="C319" t="s">
        <v>953</v>
      </c>
      <c r="N319" t="s">
        <v>89</v>
      </c>
      <c r="O319">
        <v>128.31233010093658</v>
      </c>
      <c r="P319">
        <v>156.35365361007246</v>
      </c>
      <c r="Q319">
        <v>16.461835297421896</v>
      </c>
      <c r="R319" t="s">
        <v>1013</v>
      </c>
      <c r="S319">
        <v>0.80903925868931104</v>
      </c>
      <c r="T319">
        <v>0.95760471545070858</v>
      </c>
      <c r="U319">
        <v>8.9655880661577599E-3</v>
      </c>
      <c r="V319">
        <v>0.61930853176236267</v>
      </c>
      <c r="W319">
        <v>4.2492903696484067E-3</v>
      </c>
      <c r="X319">
        <v>0.92470826090508151</v>
      </c>
      <c r="Y319">
        <v>-1.3417403465576339</v>
      </c>
      <c r="Z319">
        <v>0</v>
      </c>
      <c r="AA319">
        <v>5.0407220928075092E-2</v>
      </c>
      <c r="AB319">
        <v>2.7856481899477723</v>
      </c>
      <c r="AC319">
        <v>136.82170585218915</v>
      </c>
      <c r="AD319">
        <v>1283.1233010093658</v>
      </c>
      <c r="AE319">
        <v>0.81909538640879676</v>
      </c>
      <c r="AF319">
        <v>102.01593353900498</v>
      </c>
      <c r="AG319">
        <v>26.296396561931601</v>
      </c>
      <c r="AH319">
        <v>118.36319500762939</v>
      </c>
      <c r="AI319">
        <v>6.3748049923706134</v>
      </c>
      <c r="AJ319">
        <v>5.3858000301189151</v>
      </c>
      <c r="AK319">
        <v>2.3120232978119408</v>
      </c>
      <c r="AL319">
        <v>-1.186703127956207</v>
      </c>
      <c r="AM319">
        <v>-3.3058319114436472</v>
      </c>
      <c r="AN319">
        <v>0.36132747317867037</v>
      </c>
      <c r="AO319">
        <v>0.95135654568472083</v>
      </c>
      <c r="AP319">
        <v>-2.1495470000000001</v>
      </c>
      <c r="AQ319" t="s">
        <v>330</v>
      </c>
      <c r="AR319" t="s">
        <v>330</v>
      </c>
      <c r="AS319">
        <v>-2.1495470000000001</v>
      </c>
      <c r="AT319">
        <v>3.5073514085523261</v>
      </c>
      <c r="AU319">
        <v>0</v>
      </c>
      <c r="AV319">
        <v>0</v>
      </c>
      <c r="AW319">
        <v>1.6284722222222221</v>
      </c>
    </row>
    <row r="320" spans="2:49" ht="15" customHeight="1" x14ac:dyDescent="0.2">
      <c r="B320" t="s">
        <v>954</v>
      </c>
      <c r="C320" t="s">
        <v>955</v>
      </c>
      <c r="N320" t="s">
        <v>89</v>
      </c>
      <c r="O320">
        <v>88.994893953686073</v>
      </c>
      <c r="P320">
        <v>410.82543012266768</v>
      </c>
      <c r="Q320">
        <v>54.016329686980527</v>
      </c>
      <c r="R320" t="s">
        <v>1013</v>
      </c>
      <c r="S320">
        <v>0.36422584533258567</v>
      </c>
      <c r="T320">
        <v>0.12527848347086384</v>
      </c>
      <c r="U320">
        <v>3.7073080612572231E-3</v>
      </c>
      <c r="V320">
        <v>0.21948046798427184</v>
      </c>
      <c r="W320">
        <v>1.2537679926765577E-2</v>
      </c>
      <c r="X320">
        <v>0.20831392249405117</v>
      </c>
      <c r="Y320">
        <v>-0.3854017926011461</v>
      </c>
      <c r="Z320">
        <v>0</v>
      </c>
      <c r="AA320">
        <v>0.25918049930178627</v>
      </c>
      <c r="AB320">
        <v>0.41900600935614546</v>
      </c>
      <c r="AC320">
        <v>146.96261811785334</v>
      </c>
      <c r="AD320">
        <v>889.94893953686073</v>
      </c>
      <c r="AE320">
        <v>0.41421181904038623</v>
      </c>
      <c r="AF320">
        <v>85.217737712138629</v>
      </c>
      <c r="AG320">
        <v>3.7771562415474595</v>
      </c>
      <c r="AH320">
        <v>34.395824754409787</v>
      </c>
      <c r="AI320">
        <v>54.226175245590213</v>
      </c>
      <c r="AJ320">
        <v>157.65336529294311</v>
      </c>
      <c r="AK320">
        <v>3.5671291617675438</v>
      </c>
      <c r="AL320">
        <v>-2.8079832680950858</v>
      </c>
      <c r="AM320">
        <v>-3.4093502912817257</v>
      </c>
      <c r="AN320">
        <v>0.29662481057834483</v>
      </c>
      <c r="AO320">
        <v>3.16849458158819</v>
      </c>
      <c r="AP320">
        <v>6.3464840000000002</v>
      </c>
      <c r="AQ320" t="s">
        <v>330</v>
      </c>
      <c r="AR320" t="s">
        <v>330</v>
      </c>
      <c r="AS320">
        <v>6.3464840000000002</v>
      </c>
      <c r="AT320">
        <v>3.6672609510053937</v>
      </c>
      <c r="AU320">
        <v>0</v>
      </c>
      <c r="AV320">
        <v>43.204516367984446</v>
      </c>
      <c r="AW320">
        <v>0.8125</v>
      </c>
    </row>
    <row r="321" spans="2:49" ht="15" customHeight="1" x14ac:dyDescent="0.2">
      <c r="B321" t="s">
        <v>324</v>
      </c>
      <c r="C321" t="s">
        <v>363</v>
      </c>
      <c r="N321" t="s">
        <v>89</v>
      </c>
      <c r="O321">
        <v>145.4172806506069</v>
      </c>
      <c r="P321">
        <v>490.49681521301102</v>
      </c>
      <c r="Q321">
        <v>50.524715232781247</v>
      </c>
      <c r="R321" t="s">
        <v>1013</v>
      </c>
      <c r="S321">
        <v>0.81485707976810384</v>
      </c>
      <c r="T321">
        <v>1.0525726092728735</v>
      </c>
      <c r="U321">
        <v>3.7043496810827883E-3</v>
      </c>
      <c r="V321">
        <v>0.64585925763580598</v>
      </c>
      <c r="W321">
        <v>7.3977059716416986E-3</v>
      </c>
      <c r="X321">
        <v>0.24515142601788931</v>
      </c>
      <c r="Y321">
        <v>-1.1438276794019333</v>
      </c>
      <c r="Z321">
        <v>-0.68197830979438079</v>
      </c>
      <c r="AA321">
        <v>0.12958579496806824</v>
      </c>
      <c r="AB321">
        <v>1.6217334281426465</v>
      </c>
      <c r="AC321">
        <v>153.90196280621191</v>
      </c>
      <c r="AD321">
        <v>145417.2806506069</v>
      </c>
      <c r="AE321">
        <v>0.84970425667706584</v>
      </c>
      <c r="AF321">
        <v>90.724732411651914</v>
      </c>
      <c r="AG321">
        <v>54.692548238954998</v>
      </c>
      <c r="AH321">
        <v>129.17266541666669</v>
      </c>
      <c r="AI321">
        <v>13.556618374730022</v>
      </c>
      <c r="AJ321">
        <v>10.46823865676668</v>
      </c>
      <c r="AK321">
        <v>2.3607092278225221</v>
      </c>
      <c r="AL321">
        <v>-1.1170409370804555</v>
      </c>
      <c r="AM321">
        <v>-2.7136337639702832</v>
      </c>
      <c r="AN321">
        <v>-1.5339722053542799</v>
      </c>
      <c r="AO321">
        <v>0.78082534973714024</v>
      </c>
      <c r="AP321">
        <v>-6.4021140000000001</v>
      </c>
      <c r="AQ321" t="s">
        <v>330</v>
      </c>
      <c r="AR321">
        <v>-14.525295</v>
      </c>
      <c r="AS321">
        <v>-6.4021140000000001</v>
      </c>
      <c r="AT321">
        <v>0</v>
      </c>
      <c r="AU321">
        <v>0</v>
      </c>
      <c r="AV321">
        <v>0</v>
      </c>
      <c r="AW321">
        <v>0</v>
      </c>
    </row>
    <row r="322" spans="2:49" ht="15" customHeight="1" x14ac:dyDescent="0.2">
      <c r="B322" t="s">
        <v>956</v>
      </c>
      <c r="C322" t="s">
        <v>957</v>
      </c>
      <c r="N322" t="s">
        <v>89</v>
      </c>
      <c r="O322">
        <v>94.737450020984099</v>
      </c>
      <c r="P322">
        <v>218.1333636891701</v>
      </c>
      <c r="Q322">
        <v>55.407938584018481</v>
      </c>
      <c r="R322" t="s">
        <v>1013</v>
      </c>
      <c r="S322">
        <v>0.46120102836279186</v>
      </c>
      <c r="T322">
        <v>0.30061987209939017</v>
      </c>
      <c r="U322">
        <v>5.7126385371047217E-3</v>
      </c>
      <c r="V322">
        <v>0.37286077686877661</v>
      </c>
      <c r="W322">
        <v>2.9221616977906707E-3</v>
      </c>
      <c r="X322">
        <v>0</v>
      </c>
      <c r="Y322">
        <v>-0.54694478693778448</v>
      </c>
      <c r="Z322">
        <v>0</v>
      </c>
      <c r="AA322">
        <v>8.6051106027601576E-2</v>
      </c>
      <c r="AB322">
        <v>-4.8149385253725123</v>
      </c>
      <c r="AC322">
        <v>143.11559855603284</v>
      </c>
      <c r="AD322">
        <v>947.3745002098409</v>
      </c>
      <c r="AE322">
        <v>0.344468879760853</v>
      </c>
      <c r="AF322">
        <v>84.679445780252607</v>
      </c>
      <c r="AG322">
        <v>10.058004240731485</v>
      </c>
      <c r="AH322">
        <v>65.181960492706295</v>
      </c>
      <c r="AI322">
        <v>34.117039507293711</v>
      </c>
      <c r="AJ322">
        <v>52.341229458895036</v>
      </c>
      <c r="AK322">
        <v>2.4598680284756842</v>
      </c>
      <c r="AL322">
        <v>-1.8143301942020571</v>
      </c>
      <c r="AM322">
        <v>-2.5910198471229933</v>
      </c>
      <c r="AN322">
        <v>7.9375905208227959E-2</v>
      </c>
      <c r="AO322">
        <v>1.8271384346288051</v>
      </c>
      <c r="AP322">
        <v>1.5037020000000001</v>
      </c>
      <c r="AQ322" t="s">
        <v>330</v>
      </c>
      <c r="AR322" t="s">
        <v>330</v>
      </c>
      <c r="AS322">
        <v>1.5037020000000001</v>
      </c>
      <c r="AT322">
        <v>1.2588243587548715</v>
      </c>
      <c r="AU322">
        <v>27.29363160583496</v>
      </c>
      <c r="AV322">
        <v>27.29363160583496</v>
      </c>
      <c r="AW322">
        <v>0.20833333333333334</v>
      </c>
    </row>
    <row r="323" spans="2:49" ht="15" customHeight="1" x14ac:dyDescent="0.2">
      <c r="B323" t="s">
        <v>958</v>
      </c>
      <c r="C323" t="s">
        <v>959</v>
      </c>
      <c r="N323" t="s">
        <v>89</v>
      </c>
      <c r="O323">
        <v>104.60891338019849</v>
      </c>
      <c r="P323">
        <v>173.25971357634927</v>
      </c>
      <c r="Q323">
        <v>42.621650608124554</v>
      </c>
      <c r="R323" t="s">
        <v>1013</v>
      </c>
      <c r="S323">
        <v>0.57821295299869435</v>
      </c>
      <c r="T323">
        <v>0.51532254879277617</v>
      </c>
      <c r="U323">
        <v>8.4620878222801451E-3</v>
      </c>
      <c r="V323">
        <v>0.54115428286652334</v>
      </c>
      <c r="W323">
        <v>-2.6647326508282275E-4</v>
      </c>
      <c r="X323">
        <v>0.77519564332282198</v>
      </c>
      <c r="Y323">
        <v>-1.0047634086751296</v>
      </c>
      <c r="Z323">
        <v>0</v>
      </c>
      <c r="AA323">
        <v>6.0614809909788819E-2</v>
      </c>
      <c r="AB323">
        <v>-5.5627063046264373</v>
      </c>
      <c r="AC323">
        <v>139.58092856280803</v>
      </c>
      <c r="AD323">
        <v>1046.0891338019849</v>
      </c>
      <c r="AE323">
        <v>2.0336376321153962</v>
      </c>
      <c r="AF323">
        <v>90.090243008250596</v>
      </c>
      <c r="AG323">
        <v>14.518670371947906</v>
      </c>
      <c r="AH323">
        <v>89.123314536666882</v>
      </c>
      <c r="AI323">
        <v>21.304685463333115</v>
      </c>
      <c r="AJ323">
        <v>23.904727482468122</v>
      </c>
      <c r="AK323">
        <v>2.3660059991817013</v>
      </c>
      <c r="AL323">
        <v>-1.5168066859566807</v>
      </c>
      <c r="AM323">
        <v>-2.657509485741457</v>
      </c>
      <c r="AN323">
        <v>0.88862446505589054</v>
      </c>
      <c r="AO323">
        <v>1.3735707302103459</v>
      </c>
      <c r="AP323">
        <v>-0.56529099999999999</v>
      </c>
      <c r="AQ323" t="s">
        <v>330</v>
      </c>
      <c r="AR323" t="s">
        <v>330</v>
      </c>
      <c r="AS323">
        <v>-0.56529099999999999</v>
      </c>
      <c r="AT323">
        <v>2.9430941427898722</v>
      </c>
      <c r="AU323">
        <v>0</v>
      </c>
      <c r="AV323">
        <v>78.237512171279832</v>
      </c>
      <c r="AW323">
        <v>0.93888888888888877</v>
      </c>
    </row>
    <row r="324" spans="2:49" ht="15" customHeight="1" x14ac:dyDescent="0.2">
      <c r="B324" t="s">
        <v>960</v>
      </c>
      <c r="C324" t="s">
        <v>961</v>
      </c>
      <c r="N324" t="s">
        <v>89</v>
      </c>
      <c r="O324">
        <v>88.384233528186343</v>
      </c>
      <c r="P324">
        <v>1200.0555339937787</v>
      </c>
      <c r="Q324" t="s">
        <v>330</v>
      </c>
      <c r="R324" t="s">
        <v>1013</v>
      </c>
      <c r="S324">
        <v>1.2557684953410687E-2</v>
      </c>
      <c r="T324">
        <v>3.0816558827766064E-4</v>
      </c>
      <c r="U324">
        <v>2.5194894227520182E-4</v>
      </c>
      <c r="V324">
        <v>6.7299504888751471E-4</v>
      </c>
      <c r="W324">
        <v>3.8149537296177982E-2</v>
      </c>
      <c r="X324">
        <v>0</v>
      </c>
      <c r="Y324">
        <v>-2.1796549588505663E-3</v>
      </c>
      <c r="Z324">
        <v>0</v>
      </c>
      <c r="AA324">
        <v>0.16249688056768483</v>
      </c>
      <c r="AB324">
        <v>-3.2797325451594506</v>
      </c>
      <c r="AC324">
        <v>170.4819604787171</v>
      </c>
      <c r="AD324">
        <v>88.384233528186343</v>
      </c>
      <c r="AE324">
        <v>1.2557684264343554E-2</v>
      </c>
      <c r="AF324">
        <v>89.751337805202937</v>
      </c>
      <c r="AG324">
        <v>-1.367104277016594</v>
      </c>
      <c r="AH324">
        <v>2.4539999961853027</v>
      </c>
      <c r="AI324">
        <v>88.829000003814699</v>
      </c>
      <c r="AJ324">
        <v>3619.7636569640472</v>
      </c>
      <c r="AK324">
        <v>0.72527812060915253</v>
      </c>
      <c r="AL324">
        <v>-0.66909561772661164</v>
      </c>
      <c r="AM324">
        <v>-0.80694415361151073</v>
      </c>
      <c r="AN324">
        <v>-0.38040500268191973</v>
      </c>
      <c r="AO324">
        <v>0.73299039002509958</v>
      </c>
      <c r="AP324">
        <v>16.952551</v>
      </c>
      <c r="AQ324" t="s">
        <v>330</v>
      </c>
      <c r="AR324" t="s">
        <v>330</v>
      </c>
      <c r="AS324">
        <v>16.952551</v>
      </c>
      <c r="AT324">
        <v>0</v>
      </c>
      <c r="AU324">
        <v>0</v>
      </c>
      <c r="AV324">
        <v>0</v>
      </c>
      <c r="AW324">
        <v>0</v>
      </c>
    </row>
    <row r="325" spans="2:49" ht="15" customHeight="1" x14ac:dyDescent="0.2">
      <c r="B325" t="s">
        <v>962</v>
      </c>
      <c r="C325" t="s">
        <v>963</v>
      </c>
      <c r="N325" t="s">
        <v>89</v>
      </c>
      <c r="O325">
        <v>104.27714988497696</v>
      </c>
      <c r="P325">
        <v>382.20748349820872</v>
      </c>
      <c r="Q325">
        <v>40.676535718773295</v>
      </c>
      <c r="R325" t="s">
        <v>1013</v>
      </c>
      <c r="S325">
        <v>0.44043497052932956</v>
      </c>
      <c r="T325">
        <v>0.30352009634745114</v>
      </c>
      <c r="U325">
        <v>6.8324840211110086E-3</v>
      </c>
      <c r="V325">
        <v>0.38418831232236245</v>
      </c>
      <c r="W325">
        <v>7.0812310399560371E-3</v>
      </c>
      <c r="X325">
        <v>0.11185541263729684</v>
      </c>
      <c r="Y325">
        <v>-0.62191001628786569</v>
      </c>
      <c r="Z325">
        <v>-0.27275839540856112</v>
      </c>
      <c r="AA325">
        <v>0.12174525681573241</v>
      </c>
      <c r="AB325">
        <v>-0.36906466608222943</v>
      </c>
      <c r="AC325">
        <v>142.07344860707516</v>
      </c>
      <c r="AD325">
        <v>1042.7714988497696</v>
      </c>
      <c r="AE325">
        <v>36.811233954241231</v>
      </c>
      <c r="AF325">
        <v>96.110854961462763</v>
      </c>
      <c r="AG325">
        <v>8.1662949235142044</v>
      </c>
      <c r="AH325">
        <v>68.913714091020182</v>
      </c>
      <c r="AI325">
        <v>35.748730772902562</v>
      </c>
      <c r="AJ325">
        <v>51.874959893566874</v>
      </c>
      <c r="AK325">
        <v>2.7475200726645097</v>
      </c>
      <c r="AL325">
        <v>-1.463983526375273</v>
      </c>
      <c r="AM325">
        <v>-2.2007674362064336</v>
      </c>
      <c r="AN325">
        <v>-2.0128072680965074E-3</v>
      </c>
      <c r="AO325">
        <v>1.3987727411813962</v>
      </c>
      <c r="AP325">
        <v>3.0420086600246927</v>
      </c>
      <c r="AQ325" t="s">
        <v>330</v>
      </c>
      <c r="AR325">
        <v>1.113937005177686</v>
      </c>
      <c r="AS325">
        <v>3.0420090000000002</v>
      </c>
      <c r="AT325">
        <v>4.2995547572184742</v>
      </c>
      <c r="AU325">
        <v>0</v>
      </c>
      <c r="AV325">
        <v>0</v>
      </c>
      <c r="AW325">
        <v>0.47499999999999998</v>
      </c>
    </row>
    <row r="326" spans="2:49" ht="15" customHeight="1" x14ac:dyDescent="0.2">
      <c r="B326" t="s">
        <v>964</v>
      </c>
      <c r="C326" t="s">
        <v>965</v>
      </c>
      <c r="N326" t="s">
        <v>89</v>
      </c>
      <c r="O326">
        <v>135.00799558098237</v>
      </c>
      <c r="P326" t="s">
        <v>330</v>
      </c>
      <c r="Q326">
        <v>68.636567033913039</v>
      </c>
      <c r="R326" t="s">
        <v>1013</v>
      </c>
      <c r="S326" t="s">
        <v>330</v>
      </c>
      <c r="T326" t="s">
        <v>330</v>
      </c>
      <c r="U326" t="s">
        <v>330</v>
      </c>
      <c r="V326" t="s">
        <v>330</v>
      </c>
      <c r="W326" t="s">
        <v>330</v>
      </c>
      <c r="X326" t="s">
        <v>330</v>
      </c>
      <c r="Y326" t="s">
        <v>330</v>
      </c>
      <c r="Z326" t="s">
        <v>330</v>
      </c>
      <c r="AA326" t="s">
        <v>330</v>
      </c>
      <c r="AB326">
        <v>-5.4070904375725179</v>
      </c>
      <c r="AC326">
        <v>142.65915391738298</v>
      </c>
      <c r="AD326">
        <v>135007.99558098236</v>
      </c>
      <c r="AE326">
        <v>18.950584882983861</v>
      </c>
      <c r="AF326">
        <v>98.666629801119456</v>
      </c>
      <c r="AG326">
        <v>36.341365779862947</v>
      </c>
      <c r="AH326">
        <v>134.30884010210849</v>
      </c>
      <c r="AI326">
        <v>8.0000249573212159</v>
      </c>
      <c r="AJ326">
        <v>5.9564779788981737</v>
      </c>
      <c r="AK326">
        <v>0.58694002464498696</v>
      </c>
      <c r="AL326">
        <v>-0.10969179609528509</v>
      </c>
      <c r="AM326">
        <v>-0.13652394595526857</v>
      </c>
      <c r="AN326">
        <v>2.4612432208466279E-2</v>
      </c>
      <c r="AO326">
        <v>8.1248370234108261E-2</v>
      </c>
      <c r="AP326">
        <v>-15.638859999999999</v>
      </c>
      <c r="AQ326" t="s">
        <v>330</v>
      </c>
      <c r="AR326">
        <v>-178.37929</v>
      </c>
      <c r="AS326">
        <v>-15.638859999999999</v>
      </c>
      <c r="AT326">
        <v>0</v>
      </c>
      <c r="AU326">
        <v>0</v>
      </c>
      <c r="AV326">
        <v>0</v>
      </c>
      <c r="AW326">
        <v>0</v>
      </c>
    </row>
    <row r="327" spans="2:49" ht="15" customHeight="1" x14ac:dyDescent="0.2">
      <c r="B327" t="s">
        <v>966</v>
      </c>
      <c r="C327" t="s">
        <v>967</v>
      </c>
      <c r="N327" t="s">
        <v>89</v>
      </c>
      <c r="O327">
        <v>105.7675274736619</v>
      </c>
      <c r="P327">
        <v>150.0862023234273</v>
      </c>
      <c r="Q327">
        <v>41.923662168844487</v>
      </c>
      <c r="R327" t="s">
        <v>1013</v>
      </c>
      <c r="S327">
        <v>0.69151409867125557</v>
      </c>
      <c r="T327">
        <v>0.64543494032979476</v>
      </c>
      <c r="U327">
        <v>6.4261118927340264E-3</v>
      </c>
      <c r="V327">
        <v>0.68408053271391511</v>
      </c>
      <c r="W327">
        <v>7.2347222167081784E-4</v>
      </c>
      <c r="X327">
        <v>0</v>
      </c>
      <c r="Y327">
        <v>-1.9738746963697464</v>
      </c>
      <c r="Z327">
        <v>-0.52177314751579018</v>
      </c>
      <c r="AA327">
        <v>8.2043117156262807E-2</v>
      </c>
      <c r="AB327">
        <v>-7.2512544346353751</v>
      </c>
      <c r="AC327">
        <v>138.42931738850089</v>
      </c>
      <c r="AD327">
        <v>1057.675274736619</v>
      </c>
      <c r="AE327">
        <v>0.63054112778658755</v>
      </c>
      <c r="AF327">
        <v>81.965186283876392</v>
      </c>
      <c r="AG327">
        <v>23.802341189785512</v>
      </c>
      <c r="AH327">
        <v>93.324322065470355</v>
      </c>
      <c r="AI327">
        <v>20.112071838787116</v>
      </c>
      <c r="AJ327">
        <v>21.550589145961936</v>
      </c>
      <c r="AK327">
        <v>4.5911331392666295</v>
      </c>
      <c r="AL327">
        <v>-2.0800151436666283</v>
      </c>
      <c r="AM327">
        <v>-4.2654978350271904</v>
      </c>
      <c r="AN327">
        <v>-0.32834066458032468</v>
      </c>
      <c r="AO327">
        <v>1.8336302473325534</v>
      </c>
      <c r="AP327">
        <v>-0.70105200000000001</v>
      </c>
      <c r="AQ327" t="s">
        <v>330</v>
      </c>
      <c r="AR327">
        <v>-1.9090100000000001</v>
      </c>
      <c r="AS327">
        <v>-0.70105200000000001</v>
      </c>
      <c r="AT327">
        <v>1.4325132011601154</v>
      </c>
      <c r="AU327">
        <v>12.377032575095157</v>
      </c>
      <c r="AV327">
        <v>12.377032575095157</v>
      </c>
      <c r="AW327">
        <v>0.5552083333333333</v>
      </c>
    </row>
    <row r="328" spans="2:49" ht="15" customHeight="1" x14ac:dyDescent="0.2">
      <c r="B328" t="s">
        <v>968</v>
      </c>
      <c r="C328" t="s">
        <v>969</v>
      </c>
      <c r="N328" t="s">
        <v>89</v>
      </c>
      <c r="O328">
        <v>46.292474140282891</v>
      </c>
      <c r="P328">
        <v>3209.375727936379</v>
      </c>
      <c r="Q328">
        <v>73.579238100123121</v>
      </c>
      <c r="R328" t="s">
        <v>1013</v>
      </c>
      <c r="S328">
        <v>0.62039074374174397</v>
      </c>
      <c r="T328">
        <v>9.7803650386123459E-2</v>
      </c>
      <c r="U328">
        <v>2.7908164089423216E-3</v>
      </c>
      <c r="V328">
        <v>6.9306360461268923E-2</v>
      </c>
      <c r="W328">
        <v>8.8669957612694354E-3</v>
      </c>
      <c r="X328">
        <v>-0.23185098605124388</v>
      </c>
      <c r="Y328">
        <v>-0.61021155097303914</v>
      </c>
      <c r="Z328">
        <v>0</v>
      </c>
      <c r="AA328">
        <v>1.866347538105388</v>
      </c>
      <c r="AB328">
        <v>2.521952351790524</v>
      </c>
      <c r="AC328">
        <v>157.88496686154906</v>
      </c>
      <c r="AD328">
        <v>462.92474140282894</v>
      </c>
      <c r="AE328">
        <v>2.9772766157346746</v>
      </c>
      <c r="AF328">
        <v>31.648802944627477</v>
      </c>
      <c r="AG328">
        <v>14.643671195655411</v>
      </c>
      <c r="AH328">
        <v>15.764846811904908</v>
      </c>
      <c r="AI328">
        <v>29.36015318809509</v>
      </c>
      <c r="AJ328">
        <v>186.23811279868329</v>
      </c>
      <c r="AK328">
        <v>1.6437595653634389</v>
      </c>
      <c r="AL328">
        <v>-0.63296139792996087</v>
      </c>
      <c r="AM328">
        <v>-0.4442087583980765</v>
      </c>
      <c r="AN328">
        <v>-1.7956121933289977</v>
      </c>
      <c r="AO328">
        <v>1.4026845383489437</v>
      </c>
      <c r="AP328">
        <v>24.942810000000001</v>
      </c>
      <c r="AQ328" t="s">
        <v>330</v>
      </c>
      <c r="AR328" t="s">
        <v>330</v>
      </c>
      <c r="AS328">
        <v>24.942810000000001</v>
      </c>
      <c r="AT328">
        <v>8.310249307479225</v>
      </c>
      <c r="AU328">
        <v>12.254689557828911</v>
      </c>
      <c r="AV328">
        <v>8.9674364241061024</v>
      </c>
      <c r="AW328">
        <v>0.3125</v>
      </c>
    </row>
    <row r="329" spans="2:49" ht="15" customHeight="1" x14ac:dyDescent="0.2">
      <c r="B329" t="s">
        <v>394</v>
      </c>
      <c r="C329" t="s">
        <v>395</v>
      </c>
      <c r="N329" t="s">
        <v>89</v>
      </c>
      <c r="O329">
        <v>95.592192818753873</v>
      </c>
      <c r="P329">
        <v>67.559552305216968</v>
      </c>
      <c r="Q329">
        <v>139.94604873061044</v>
      </c>
      <c r="R329" t="s">
        <v>1013</v>
      </c>
      <c r="S329">
        <v>2.4749730777765719E-14</v>
      </c>
      <c r="T329">
        <v>6.3840913882307504E-15</v>
      </c>
      <c r="U329">
        <v>1.1838244349796949E-13</v>
      </c>
      <c r="V329">
        <v>9.6633812063373623E-14</v>
      </c>
      <c r="W329">
        <v>1.3426516385629838E-2</v>
      </c>
      <c r="X329">
        <v>0</v>
      </c>
      <c r="Y329">
        <v>-2.5271852888209042E-3</v>
      </c>
      <c r="Z329">
        <v>0</v>
      </c>
      <c r="AA329">
        <v>6.1293817970671056E-3</v>
      </c>
      <c r="AB329">
        <v>-2.0899271397969108</v>
      </c>
      <c r="AC329">
        <v>142.63017986961557</v>
      </c>
      <c r="AD329">
        <v>955.9219281875387</v>
      </c>
      <c r="AE329">
        <v>2.4589122378181672E-14</v>
      </c>
      <c r="AF329">
        <v>95.912469243707974</v>
      </c>
      <c r="AG329">
        <v>-0.32027642495411329</v>
      </c>
      <c r="AH329">
        <v>25.794589224243161</v>
      </c>
      <c r="AI329">
        <v>71.795410775756835</v>
      </c>
      <c r="AJ329">
        <v>278.33515839934211</v>
      </c>
      <c r="AK329">
        <v>0.53809324198336861</v>
      </c>
      <c r="AL329">
        <v>-0.52253455441945107</v>
      </c>
      <c r="AM329">
        <v>-0.63367832927463041</v>
      </c>
      <c r="AN329">
        <v>-0.49975688832716753</v>
      </c>
      <c r="AO329">
        <v>0.53543862528891395</v>
      </c>
      <c r="AP329">
        <v>4.5548128075306504</v>
      </c>
      <c r="AQ329" t="s">
        <v>330</v>
      </c>
      <c r="AR329" t="s">
        <v>330</v>
      </c>
      <c r="AS329">
        <v>4.5548130000000002</v>
      </c>
      <c r="AT329">
        <v>0</v>
      </c>
      <c r="AU329">
        <v>0</v>
      </c>
      <c r="AV329">
        <v>0</v>
      </c>
      <c r="AW329">
        <v>0</v>
      </c>
    </row>
    <row r="330" spans="2:49" ht="15" customHeight="1" x14ac:dyDescent="0.2">
      <c r="B330" t="s">
        <v>396</v>
      </c>
      <c r="C330" t="s">
        <v>397</v>
      </c>
      <c r="N330" t="s">
        <v>89</v>
      </c>
      <c r="O330">
        <v>85.969618609041078</v>
      </c>
      <c r="P330">
        <v>128.02382945723971</v>
      </c>
      <c r="Q330">
        <v>105.53843217930144</v>
      </c>
      <c r="R330" t="s">
        <v>1013</v>
      </c>
      <c r="S330">
        <v>3.05817272085206E-2</v>
      </c>
      <c r="T330">
        <v>7.8904752622025089E-3</v>
      </c>
      <c r="U330">
        <v>1.1910430933279837E-3</v>
      </c>
      <c r="V330">
        <v>2.4992245440682837E-2</v>
      </c>
      <c r="W330">
        <v>1.3378449315587205E-2</v>
      </c>
      <c r="X330">
        <v>0</v>
      </c>
      <c r="Y330">
        <v>-1.619527858209387E-2</v>
      </c>
      <c r="Z330">
        <v>0</v>
      </c>
      <c r="AA330">
        <v>4.4925058156974444E-2</v>
      </c>
      <c r="AB330">
        <v>-6.3747885353333134</v>
      </c>
      <c r="AC330">
        <v>142.63017986961557</v>
      </c>
      <c r="AD330">
        <v>859.69618609041072</v>
      </c>
      <c r="AE330">
        <v>1.0213106190798502E-2</v>
      </c>
      <c r="AF330">
        <v>86.714040281866815</v>
      </c>
      <c r="AG330">
        <v>-0.7444216728257288</v>
      </c>
      <c r="AH330">
        <v>25.794589224243161</v>
      </c>
      <c r="AI330">
        <v>65.655410775756849</v>
      </c>
      <c r="AJ330">
        <v>254.5317167293764</v>
      </c>
      <c r="AK330">
        <v>2.0000310494589644</v>
      </c>
      <c r="AL330">
        <v>-1.7985954329676588</v>
      </c>
      <c r="AM330">
        <v>-2.1063480016408676</v>
      </c>
      <c r="AN330">
        <v>6.2095758795888675E-2</v>
      </c>
      <c r="AO330">
        <v>1.9667527971215515</v>
      </c>
      <c r="AP330">
        <v>4.6902850000000003</v>
      </c>
      <c r="AQ330" t="s">
        <v>330</v>
      </c>
      <c r="AR330" t="s">
        <v>330</v>
      </c>
      <c r="AS330">
        <v>4.6902850000000003</v>
      </c>
      <c r="AT330">
        <v>0.27337342810278842</v>
      </c>
      <c r="AU330">
        <v>262.62164310302734</v>
      </c>
      <c r="AV330">
        <v>262.62164310302734</v>
      </c>
      <c r="AW330">
        <v>0.1138888888888889</v>
      </c>
    </row>
    <row r="331" spans="2:49" ht="15" customHeight="1" x14ac:dyDescent="0.2">
      <c r="B331" t="s">
        <v>970</v>
      </c>
      <c r="C331" t="s">
        <v>971</v>
      </c>
      <c r="N331" t="s">
        <v>89</v>
      </c>
      <c r="O331">
        <v>111.76321257928277</v>
      </c>
      <c r="P331">
        <v>511.36667291601532</v>
      </c>
      <c r="Q331">
        <v>32.62310726595787</v>
      </c>
      <c r="R331" t="s">
        <v>1013</v>
      </c>
      <c r="S331">
        <v>0.69911196003279774</v>
      </c>
      <c r="T331">
        <v>0.58682495771306376</v>
      </c>
      <c r="U331">
        <v>7.6132062853822326E-3</v>
      </c>
      <c r="V331">
        <v>0.50992830924753074</v>
      </c>
      <c r="W331">
        <v>5.3105336254520813E-4</v>
      </c>
      <c r="X331">
        <v>0.18722205349149085</v>
      </c>
      <c r="Y331">
        <v>-1.8601772892961548</v>
      </c>
      <c r="Z331">
        <v>-0.48388984168761601</v>
      </c>
      <c r="AA331">
        <v>0.20570806219408364</v>
      </c>
      <c r="AB331">
        <v>2.3310108211453513</v>
      </c>
      <c r="AC331">
        <v>0</v>
      </c>
      <c r="AD331">
        <v>223526.42515856551</v>
      </c>
      <c r="AE331">
        <v>41.550111706659557</v>
      </c>
      <c r="AF331">
        <v>93.019113778786163</v>
      </c>
      <c r="AG331">
        <v>18.744098800496591</v>
      </c>
      <c r="AH331">
        <v>83.939703469983669</v>
      </c>
      <c r="AI331">
        <v>25.218839893684731</v>
      </c>
      <c r="AJ331">
        <v>30.044188983715316</v>
      </c>
      <c r="AK331">
        <v>3.3635343025753497</v>
      </c>
      <c r="AL331">
        <v>-1.2483473499647517</v>
      </c>
      <c r="AM331">
        <v>-2.1575658875057706</v>
      </c>
      <c r="AN331">
        <v>-0.18565547410369815</v>
      </c>
      <c r="AO331">
        <v>1.143615080859627</v>
      </c>
      <c r="AP331">
        <v>1.1293139999999999</v>
      </c>
      <c r="AQ331" t="s">
        <v>330</v>
      </c>
      <c r="AR331">
        <v>-1.1062289999999999</v>
      </c>
      <c r="AS331">
        <v>1.1293139999999999</v>
      </c>
      <c r="AT331">
        <v>3.2063614210593818</v>
      </c>
      <c r="AU331">
        <v>0</v>
      </c>
      <c r="AV331">
        <v>0</v>
      </c>
      <c r="AW331">
        <v>0.11666666666666668</v>
      </c>
    </row>
    <row r="332" spans="2:49" ht="15" customHeight="1" x14ac:dyDescent="0.2">
      <c r="B332" t="s">
        <v>972</v>
      </c>
      <c r="C332" t="s">
        <v>973</v>
      </c>
      <c r="N332" t="s">
        <v>89</v>
      </c>
      <c r="O332">
        <v>90.065914274897835</v>
      </c>
      <c r="P332">
        <v>62.86613826878996</v>
      </c>
      <c r="Q332">
        <v>110.0871474885396</v>
      </c>
      <c r="R332" t="s">
        <v>1013</v>
      </c>
      <c r="S332">
        <v>4.5275711867166134E-2</v>
      </c>
      <c r="T332">
        <v>1.3226888067382947E-2</v>
      </c>
      <c r="U332">
        <v>1.5902127894746848E-3</v>
      </c>
      <c r="V332">
        <v>3.6258746583873291E-2</v>
      </c>
      <c r="W332">
        <v>6.0960688647610367E-3</v>
      </c>
      <c r="X332">
        <v>0</v>
      </c>
      <c r="Y332">
        <v>-2.2080276412131526E-2</v>
      </c>
      <c r="Z332">
        <v>0</v>
      </c>
      <c r="AA332">
        <v>1.8975322959944665E-2</v>
      </c>
      <c r="AB332">
        <v>-7.103781465620858</v>
      </c>
      <c r="AC332">
        <v>166.02051405208957</v>
      </c>
      <c r="AD332">
        <v>90065.914274897834</v>
      </c>
      <c r="AE332">
        <v>4.9079667223133366E-2</v>
      </c>
      <c r="AF332">
        <v>90.710928524216641</v>
      </c>
      <c r="AG332">
        <v>-0.64501424931880325</v>
      </c>
      <c r="AH332">
        <v>29.214091887034606</v>
      </c>
      <c r="AI332">
        <v>67.249908112965386</v>
      </c>
      <c r="AJ332">
        <v>230.19681177497532</v>
      </c>
      <c r="AK332">
        <v>1.785218822459721</v>
      </c>
      <c r="AL332">
        <v>-1.9479112634651392</v>
      </c>
      <c r="AM332">
        <v>-1.9949065956905543</v>
      </c>
      <c r="AN332">
        <v>5.3812247364030267E-3</v>
      </c>
      <c r="AO332">
        <v>2.019314214074825</v>
      </c>
      <c r="AP332">
        <v>2.6590606548210163</v>
      </c>
      <c r="AQ332" t="s">
        <v>330</v>
      </c>
      <c r="AR332" t="s">
        <v>330</v>
      </c>
      <c r="AS332">
        <v>2.6590606548210163</v>
      </c>
      <c r="AT332">
        <v>0.64791010117764136</v>
      </c>
      <c r="AU332">
        <v>107.59985298074463</v>
      </c>
      <c r="AV332">
        <v>107.59985298074463</v>
      </c>
      <c r="AW332">
        <v>0.11986301369863014</v>
      </c>
    </row>
    <row r="333" spans="2:49" ht="15" customHeight="1" x14ac:dyDescent="0.2">
      <c r="B333" t="s">
        <v>325</v>
      </c>
      <c r="C333" t="s">
        <v>364</v>
      </c>
      <c r="N333" t="s">
        <v>89</v>
      </c>
      <c r="O333">
        <v>178.22727095108417</v>
      </c>
      <c r="P333">
        <v>262.43710887875335</v>
      </c>
      <c r="Q333">
        <v>50.50353486631478</v>
      </c>
      <c r="R333" t="s">
        <v>1013</v>
      </c>
      <c r="S333">
        <v>0.95487229778069938</v>
      </c>
      <c r="T333">
        <v>1.6763661146711843</v>
      </c>
      <c r="U333">
        <v>2.130590151792993E-3</v>
      </c>
      <c r="V333">
        <v>0.48432335509691621</v>
      </c>
      <c r="W333">
        <v>1.1727711626444944E-3</v>
      </c>
      <c r="X333">
        <v>0.19676044752845098</v>
      </c>
      <c r="Y333">
        <v>-1.4802405855751772</v>
      </c>
      <c r="Z333">
        <v>-0.87066894326961808</v>
      </c>
      <c r="AA333">
        <v>4.2251272243410277E-2</v>
      </c>
      <c r="AB333">
        <v>-0.46049577291741373</v>
      </c>
      <c r="AC333">
        <v>143.45757039282714</v>
      </c>
      <c r="AD333">
        <v>178227.27095108415</v>
      </c>
      <c r="AE333">
        <v>38.90466075563014</v>
      </c>
      <c r="AF333">
        <v>89.976322776514493</v>
      </c>
      <c r="AG333">
        <v>88.250948174569672</v>
      </c>
      <c r="AH333">
        <v>175.5614527767201</v>
      </c>
      <c r="AI333">
        <v>3.4876763592804991</v>
      </c>
      <c r="AJ333">
        <v>1.9865971347933689</v>
      </c>
      <c r="AK333">
        <v>1.8766315499711843</v>
      </c>
      <c r="AL333">
        <v>-0.48253767495407374</v>
      </c>
      <c r="AM333">
        <v>-2.5363435478633618</v>
      </c>
      <c r="AN333">
        <v>-1.5629752882186425</v>
      </c>
      <c r="AO333">
        <v>0.26950185143317645</v>
      </c>
      <c r="AP333">
        <v>-14.454936999999999</v>
      </c>
      <c r="AQ333" t="s">
        <v>330</v>
      </c>
      <c r="AR333">
        <v>-30.982426</v>
      </c>
      <c r="AS333">
        <v>-14.454936999999999</v>
      </c>
      <c r="AT333">
        <v>0.55850944997989371</v>
      </c>
      <c r="AU333">
        <v>0</v>
      </c>
      <c r="AV333">
        <v>0</v>
      </c>
      <c r="AW333">
        <v>0.30555555555555558</v>
      </c>
    </row>
    <row r="334" spans="2:49" ht="15" customHeight="1" x14ac:dyDescent="0.2">
      <c r="B334" t="s">
        <v>974</v>
      </c>
      <c r="C334" t="s">
        <v>975</v>
      </c>
      <c r="N334" t="s">
        <v>89</v>
      </c>
      <c r="O334">
        <v>159.61595283666986</v>
      </c>
      <c r="P334" t="s">
        <v>330</v>
      </c>
      <c r="Q334">
        <v>39.802092423265293</v>
      </c>
      <c r="R334" t="s">
        <v>1013</v>
      </c>
      <c r="S334" t="s">
        <v>330</v>
      </c>
      <c r="T334" t="s">
        <v>330</v>
      </c>
      <c r="U334" t="s">
        <v>330</v>
      </c>
      <c r="V334" t="s">
        <v>330</v>
      </c>
      <c r="W334" t="s">
        <v>330</v>
      </c>
      <c r="X334" t="s">
        <v>330</v>
      </c>
      <c r="Y334" t="s">
        <v>330</v>
      </c>
      <c r="Z334" t="s">
        <v>330</v>
      </c>
      <c r="AA334" t="s">
        <v>330</v>
      </c>
      <c r="AB334">
        <v>11.916699113486121</v>
      </c>
      <c r="AC334">
        <v>0</v>
      </c>
      <c r="AD334">
        <v>1596159.5283666987</v>
      </c>
      <c r="AE334">
        <v>3.0421247106958704</v>
      </c>
      <c r="AF334">
        <v>85.612298789021722</v>
      </c>
      <c r="AG334">
        <v>74.003654047648141</v>
      </c>
      <c r="AH334">
        <v>134.85583219127244</v>
      </c>
      <c r="AI334">
        <v>5.7319214769231053</v>
      </c>
      <c r="AJ334">
        <v>4.2501784325962095</v>
      </c>
      <c r="AK334">
        <v>4.1084751941578777</v>
      </c>
      <c r="AL334">
        <v>-1.7100882287365384</v>
      </c>
      <c r="AM334">
        <v>-3.3313617710147518</v>
      </c>
      <c r="AN334">
        <v>6.008733365545444E-2</v>
      </c>
      <c r="AO334">
        <v>1.0713767630021416</v>
      </c>
      <c r="AP334">
        <v>-6.0153573503088067</v>
      </c>
      <c r="AQ334" t="s">
        <v>330</v>
      </c>
      <c r="AR334">
        <v>-10.312041171957954</v>
      </c>
      <c r="AS334">
        <v>-6.0153569999999998</v>
      </c>
      <c r="AT334">
        <v>0</v>
      </c>
      <c r="AU334">
        <v>0</v>
      </c>
      <c r="AV334">
        <v>0</v>
      </c>
      <c r="AW334">
        <v>0</v>
      </c>
    </row>
    <row r="335" spans="2:49" ht="15" customHeight="1" x14ac:dyDescent="0.2">
      <c r="B335" t="s">
        <v>976</v>
      </c>
      <c r="C335" t="s">
        <v>977</v>
      </c>
      <c r="N335" t="s">
        <v>89</v>
      </c>
      <c r="O335">
        <v>114.81292256822461</v>
      </c>
      <c r="P335">
        <v>184.02685791928107</v>
      </c>
      <c r="Q335">
        <v>33.93789780391112</v>
      </c>
      <c r="R335" t="s">
        <v>1013</v>
      </c>
      <c r="S335">
        <v>0.71719831292472402</v>
      </c>
      <c r="T335">
        <v>0.62258399211347049</v>
      </c>
      <c r="U335">
        <v>3.8921986079397813E-3</v>
      </c>
      <c r="V335">
        <v>0.73506895757573143</v>
      </c>
      <c r="W335">
        <v>-4.7941814341356806E-5</v>
      </c>
      <c r="X335">
        <v>0.23501878022884901</v>
      </c>
      <c r="Y335">
        <v>-2.2297746781258989</v>
      </c>
      <c r="Z335">
        <v>0</v>
      </c>
      <c r="AA335">
        <v>0.12313043194316628</v>
      </c>
      <c r="AB335">
        <v>4.4480381249679981</v>
      </c>
      <c r="AC335">
        <v>142.43404510177641</v>
      </c>
      <c r="AD335">
        <v>1148.129225682246</v>
      </c>
      <c r="AE335">
        <v>0.37123864794695127</v>
      </c>
      <c r="AF335">
        <v>82.158968273688785</v>
      </c>
      <c r="AG335">
        <v>32.653954294535808</v>
      </c>
      <c r="AH335">
        <v>86.787082427978547</v>
      </c>
      <c r="AI335">
        <v>22.918917572021456</v>
      </c>
      <c r="AJ335">
        <v>26.408212986121566</v>
      </c>
      <c r="AK335">
        <v>4.8820594511380211</v>
      </c>
      <c r="AL335">
        <v>-2.4561043744023436</v>
      </c>
      <c r="AM335">
        <v>-4.4482659809568759</v>
      </c>
      <c r="AN335">
        <v>0.20723440370516008</v>
      </c>
      <c r="AO335">
        <v>2.2388058760709022</v>
      </c>
      <c r="AP335">
        <v>-1.335345</v>
      </c>
      <c r="AQ335" t="s">
        <v>330</v>
      </c>
      <c r="AR335">
        <v>-1.876287</v>
      </c>
      <c r="AS335">
        <v>-1.335345</v>
      </c>
      <c r="AT335">
        <v>0</v>
      </c>
      <c r="AU335">
        <v>0</v>
      </c>
      <c r="AV335">
        <v>0</v>
      </c>
      <c r="AW335">
        <v>0</v>
      </c>
    </row>
    <row r="336" spans="2:49" ht="15" customHeight="1" x14ac:dyDescent="0.2">
      <c r="B336" t="s">
        <v>978</v>
      </c>
      <c r="C336" t="s">
        <v>979</v>
      </c>
      <c r="N336" t="s">
        <v>89</v>
      </c>
      <c r="O336">
        <v>110.45249827091121</v>
      </c>
      <c r="P336" t="s">
        <v>330</v>
      </c>
      <c r="Q336">
        <v>30.138848802894554</v>
      </c>
      <c r="R336" t="s">
        <v>1013</v>
      </c>
      <c r="S336" t="s">
        <v>330</v>
      </c>
      <c r="T336" t="s">
        <v>330</v>
      </c>
      <c r="U336" t="s">
        <v>330</v>
      </c>
      <c r="V336" t="s">
        <v>330</v>
      </c>
      <c r="W336" t="s">
        <v>330</v>
      </c>
      <c r="X336" t="s">
        <v>330</v>
      </c>
      <c r="Y336" t="s">
        <v>330</v>
      </c>
      <c r="Z336" t="s">
        <v>330</v>
      </c>
      <c r="AA336" t="s">
        <v>330</v>
      </c>
      <c r="AB336">
        <v>-2.5101303931474224</v>
      </c>
      <c r="AC336">
        <v>0</v>
      </c>
      <c r="AD336">
        <v>1104.524982709112</v>
      </c>
      <c r="AE336">
        <v>0.11924733587407084</v>
      </c>
      <c r="AF336">
        <v>90.943181634961675</v>
      </c>
      <c r="AG336">
        <v>19.509316635949528</v>
      </c>
      <c r="AH336">
        <v>97.4059027230835</v>
      </c>
      <c r="AI336">
        <v>15.819097276916494</v>
      </c>
      <c r="AJ336">
        <v>16.240388759487001</v>
      </c>
      <c r="AK336">
        <v>2.9674867134064047</v>
      </c>
      <c r="AL336">
        <v>-1.5695254713269833</v>
      </c>
      <c r="AM336">
        <v>-3.6899108696427447</v>
      </c>
      <c r="AN336">
        <v>0.13286784279503452</v>
      </c>
      <c r="AO336">
        <v>1.4209958995018346</v>
      </c>
      <c r="AP336">
        <v>-2.760143060338486</v>
      </c>
      <c r="AQ336" t="s">
        <v>330</v>
      </c>
      <c r="AR336" t="s">
        <v>330</v>
      </c>
      <c r="AS336">
        <v>-2.7601429999999998</v>
      </c>
      <c r="AT336">
        <v>0.88319717376904394</v>
      </c>
      <c r="AU336">
        <v>1357.1702715454123</v>
      </c>
      <c r="AV336">
        <v>105.67156228342726</v>
      </c>
      <c r="AW336">
        <v>0.16388888888888889</v>
      </c>
    </row>
    <row r="337" spans="2:49" ht="15" customHeight="1" x14ac:dyDescent="0.2">
      <c r="B337" t="s">
        <v>980</v>
      </c>
      <c r="C337" t="s">
        <v>981</v>
      </c>
      <c r="N337" t="s">
        <v>89</v>
      </c>
      <c r="O337">
        <v>185.302110931079</v>
      </c>
      <c r="P337" t="s">
        <v>330</v>
      </c>
      <c r="Q337">
        <v>48.911103844440298</v>
      </c>
      <c r="R337" t="s">
        <v>1013</v>
      </c>
      <c r="S337" t="s">
        <v>330</v>
      </c>
      <c r="T337" t="s">
        <v>330</v>
      </c>
      <c r="U337" t="s">
        <v>330</v>
      </c>
      <c r="V337" t="s">
        <v>330</v>
      </c>
      <c r="W337" t="s">
        <v>330</v>
      </c>
      <c r="X337" t="s">
        <v>330</v>
      </c>
      <c r="Y337" t="s">
        <v>330</v>
      </c>
      <c r="Z337" t="s">
        <v>330</v>
      </c>
      <c r="AA337" t="s">
        <v>330</v>
      </c>
      <c r="AB337">
        <v>2.3497362815788332</v>
      </c>
      <c r="AC337">
        <v>146.51197977903558</v>
      </c>
      <c r="AD337">
        <v>1853.0211093107898</v>
      </c>
      <c r="AE337">
        <v>28.991347765167241</v>
      </c>
      <c r="AF337">
        <v>83.258428741902108</v>
      </c>
      <c r="AG337">
        <v>102.04368218917688</v>
      </c>
      <c r="AH337">
        <v>178.25058301334383</v>
      </c>
      <c r="AI337">
        <v>2.6974169866561795</v>
      </c>
      <c r="AJ337">
        <v>1.5132724623146119</v>
      </c>
      <c r="AK337">
        <v>2.3927914563155044</v>
      </c>
      <c r="AL337">
        <v>-0.90006334682050237</v>
      </c>
      <c r="AM337">
        <v>-2.9147134525865113</v>
      </c>
      <c r="AN337">
        <v>4.8932723198491263E-2</v>
      </c>
      <c r="AO337">
        <v>0.48572751939953379</v>
      </c>
      <c r="AP337">
        <v>-11.355848999999999</v>
      </c>
      <c r="AQ337" t="s">
        <v>330</v>
      </c>
      <c r="AR337" t="s">
        <v>330</v>
      </c>
      <c r="AS337">
        <v>-11.355848999999999</v>
      </c>
      <c r="AT337">
        <v>1.5197736366248866</v>
      </c>
      <c r="AU337">
        <v>14.543416162680799</v>
      </c>
      <c r="AV337">
        <v>12.332480019949207</v>
      </c>
      <c r="AW337">
        <v>0.56527777777777777</v>
      </c>
    </row>
    <row r="338" spans="2:49" ht="15" customHeight="1" x14ac:dyDescent="0.2">
      <c r="B338" t="s">
        <v>982</v>
      </c>
      <c r="C338" t="s">
        <v>983</v>
      </c>
      <c r="N338" t="s">
        <v>89</v>
      </c>
      <c r="O338">
        <v>98.51419217569952</v>
      </c>
      <c r="P338" t="s">
        <v>330</v>
      </c>
      <c r="Q338">
        <v>77.520390347831921</v>
      </c>
      <c r="R338" t="s">
        <v>1013</v>
      </c>
      <c r="S338" t="s">
        <v>330</v>
      </c>
      <c r="T338" t="s">
        <v>330</v>
      </c>
      <c r="U338" t="s">
        <v>330</v>
      </c>
      <c r="V338" t="s">
        <v>330</v>
      </c>
      <c r="W338" t="s">
        <v>330</v>
      </c>
      <c r="X338" t="s">
        <v>330</v>
      </c>
      <c r="Y338" t="s">
        <v>330</v>
      </c>
      <c r="Z338" t="s">
        <v>330</v>
      </c>
      <c r="AA338" t="s">
        <v>330</v>
      </c>
      <c r="AB338">
        <v>-1.2747481317826115</v>
      </c>
      <c r="AC338">
        <v>138.88692000176241</v>
      </c>
      <c r="AD338">
        <v>98514.192175699529</v>
      </c>
      <c r="AE338">
        <v>1.2190634936578364E-3</v>
      </c>
      <c r="AF338">
        <v>98.67583794558287</v>
      </c>
      <c r="AG338">
        <v>-0.16164576988336921</v>
      </c>
      <c r="AH338">
        <v>63.138332615207418</v>
      </c>
      <c r="AI338">
        <v>36.631667384792578</v>
      </c>
      <c r="AJ338">
        <v>58.018110183621673</v>
      </c>
      <c r="AK338">
        <v>0.2445608023204609</v>
      </c>
      <c r="AL338">
        <v>-0.24272296599185211</v>
      </c>
      <c r="AM338">
        <v>-0.28396427353931358</v>
      </c>
      <c r="AN338">
        <v>1.8270673213212399E-3</v>
      </c>
      <c r="AO338">
        <v>0.24638375510297747</v>
      </c>
      <c r="AP338">
        <v>1.6771579999999999</v>
      </c>
      <c r="AQ338" t="s">
        <v>330</v>
      </c>
      <c r="AR338" t="s">
        <v>330</v>
      </c>
      <c r="AS338">
        <v>1.6771579999999999</v>
      </c>
      <c r="AT338">
        <v>0.75172897664628657</v>
      </c>
      <c r="AU338">
        <v>0</v>
      </c>
      <c r="AV338">
        <v>0</v>
      </c>
      <c r="AW338">
        <v>0.56095890410958904</v>
      </c>
    </row>
    <row r="339" spans="2:49" ht="15" customHeight="1" x14ac:dyDescent="0.2">
      <c r="B339" t="s">
        <v>984</v>
      </c>
      <c r="C339" t="s">
        <v>985</v>
      </c>
      <c r="N339" t="s">
        <v>89</v>
      </c>
      <c r="O339">
        <v>214.30031964545631</v>
      </c>
      <c r="P339" t="s">
        <v>330</v>
      </c>
      <c r="Q339" t="s">
        <v>330</v>
      </c>
      <c r="R339" t="s">
        <v>1013</v>
      </c>
      <c r="S339" t="s">
        <v>330</v>
      </c>
      <c r="T339" t="s">
        <v>330</v>
      </c>
      <c r="U339" t="s">
        <v>330</v>
      </c>
      <c r="V339" t="s">
        <v>330</v>
      </c>
      <c r="W339" t="s">
        <v>330</v>
      </c>
      <c r="X339" t="s">
        <v>330</v>
      </c>
      <c r="Y339" t="s">
        <v>330</v>
      </c>
      <c r="Z339" t="s">
        <v>330</v>
      </c>
      <c r="AA339" t="s">
        <v>330</v>
      </c>
      <c r="AB339">
        <v>4.9954753512115282</v>
      </c>
      <c r="AC339">
        <v>149.83808222666556</v>
      </c>
      <c r="AD339">
        <v>2143.0031964545628</v>
      </c>
      <c r="AE339">
        <v>14.80807508410696</v>
      </c>
      <c r="AF339">
        <v>93.143972770368407</v>
      </c>
      <c r="AG339">
        <v>121.15634687508792</v>
      </c>
      <c r="AH339">
        <v>200.71434516609193</v>
      </c>
      <c r="AI339">
        <v>2.8806548339080678</v>
      </c>
      <c r="AJ339">
        <v>1.4352012715007063</v>
      </c>
      <c r="AK339">
        <v>1.2067935645142513</v>
      </c>
      <c r="AL339">
        <v>-0.5161887245676553</v>
      </c>
      <c r="AM339">
        <v>-2.1988899407770077</v>
      </c>
      <c r="AN339">
        <v>1.5689415051103557E-2</v>
      </c>
      <c r="AO339">
        <v>0.2408716540514968</v>
      </c>
      <c r="AP339">
        <v>-19.185457</v>
      </c>
      <c r="AQ339" t="s">
        <v>330</v>
      </c>
      <c r="AR339" t="s">
        <v>330</v>
      </c>
      <c r="AS339">
        <v>-19.185457</v>
      </c>
      <c r="AT339">
        <v>2.3330631891745868</v>
      </c>
      <c r="AU339">
        <v>0.60645364924380618</v>
      </c>
      <c r="AV339">
        <v>0.60645364924380618</v>
      </c>
      <c r="AW339">
        <v>0</v>
      </c>
    </row>
    <row r="340" spans="2:49" ht="15" customHeight="1" x14ac:dyDescent="0.2">
      <c r="B340" t="s">
        <v>986</v>
      </c>
      <c r="C340" t="s">
        <v>987</v>
      </c>
      <c r="N340" t="s">
        <v>89</v>
      </c>
      <c r="O340">
        <v>172.10291197420784</v>
      </c>
      <c r="P340">
        <v>706.30429282691989</v>
      </c>
      <c r="Q340">
        <v>50.337493859834325</v>
      </c>
      <c r="R340" t="s">
        <v>1013</v>
      </c>
      <c r="S340">
        <v>0.90700408731908078</v>
      </c>
      <c r="T340">
        <v>1.3458913001126847</v>
      </c>
      <c r="U340">
        <v>1.7996670425944261E-3</v>
      </c>
      <c r="V340">
        <v>0.48710043414106396</v>
      </c>
      <c r="W340">
        <v>8.4983221199991018E-3</v>
      </c>
      <c r="X340">
        <v>0</v>
      </c>
      <c r="Y340">
        <v>-1.9378564185788063</v>
      </c>
      <c r="Z340">
        <v>0</v>
      </c>
      <c r="AA340">
        <v>0.13644955397928249</v>
      </c>
      <c r="AB340">
        <v>3.9051703989849198</v>
      </c>
      <c r="AC340">
        <v>149.40920158716327</v>
      </c>
      <c r="AD340">
        <v>1721.0291197420784</v>
      </c>
      <c r="AE340">
        <v>13.781292923187731</v>
      </c>
      <c r="AF340">
        <v>88.510731790025972</v>
      </c>
      <c r="AG340">
        <v>83.592180184181871</v>
      </c>
      <c r="AH340">
        <v>148.53279886035921</v>
      </c>
      <c r="AI340">
        <v>16.849201139640797</v>
      </c>
      <c r="AJ340">
        <v>11.343757923447811</v>
      </c>
      <c r="AK340">
        <v>2.2020771103809671</v>
      </c>
      <c r="AL340">
        <v>-0.85072561209096875</v>
      </c>
      <c r="AM340">
        <v>-2.0647794704573244</v>
      </c>
      <c r="AN340">
        <v>-0.94725587430200975</v>
      </c>
      <c r="AO340">
        <v>0.51440036527008304</v>
      </c>
      <c r="AP340">
        <v>-10.289143580792473</v>
      </c>
      <c r="AQ340" t="s">
        <v>330</v>
      </c>
      <c r="AR340" t="s">
        <v>330</v>
      </c>
      <c r="AS340">
        <v>-10.289143580792473</v>
      </c>
      <c r="AT340">
        <v>2.2674777182522883</v>
      </c>
      <c r="AU340">
        <v>4.4931203039042158</v>
      </c>
      <c r="AV340">
        <v>4.4931203039042158</v>
      </c>
      <c r="AW340">
        <v>1.09375</v>
      </c>
    </row>
    <row r="341" spans="2:49" ht="15" customHeight="1" x14ac:dyDescent="0.2">
      <c r="B341" t="s">
        <v>988</v>
      </c>
      <c r="C341" t="s">
        <v>989</v>
      </c>
      <c r="N341" t="s">
        <v>89</v>
      </c>
      <c r="O341" t="s">
        <v>330</v>
      </c>
      <c r="P341" t="s">
        <v>330</v>
      </c>
      <c r="Q341" t="s">
        <v>330</v>
      </c>
      <c r="R341" t="s">
        <v>1013</v>
      </c>
      <c r="S341" t="s">
        <v>330</v>
      </c>
      <c r="T341" t="s">
        <v>330</v>
      </c>
      <c r="U341" t="s">
        <v>330</v>
      </c>
      <c r="V341" t="s">
        <v>330</v>
      </c>
      <c r="W341" t="s">
        <v>330</v>
      </c>
      <c r="X341" t="s">
        <v>330</v>
      </c>
      <c r="Y341" t="s">
        <v>330</v>
      </c>
      <c r="Z341" t="s">
        <v>330</v>
      </c>
      <c r="AA341" t="s">
        <v>330</v>
      </c>
      <c r="AB341" t="s">
        <v>330</v>
      </c>
      <c r="AC341" t="s">
        <v>330</v>
      </c>
      <c r="AD341" t="e">
        <v>#VALUE!</v>
      </c>
      <c r="AE341" t="s">
        <v>330</v>
      </c>
      <c r="AF341" t="s">
        <v>330</v>
      </c>
      <c r="AG341" t="s">
        <v>330</v>
      </c>
      <c r="AH341" t="s">
        <v>330</v>
      </c>
      <c r="AI341">
        <v>66.130157658554083</v>
      </c>
      <c r="AJ341">
        <v>194.42702551786448</v>
      </c>
      <c r="AK341" t="s">
        <v>330</v>
      </c>
      <c r="AL341" t="s">
        <v>330</v>
      </c>
      <c r="AM341" t="s">
        <v>330</v>
      </c>
      <c r="AN341" t="s">
        <v>330</v>
      </c>
      <c r="AO341" t="s">
        <v>330</v>
      </c>
      <c r="AP341" t="s">
        <v>330</v>
      </c>
      <c r="AQ341" t="s">
        <v>330</v>
      </c>
      <c r="AR341" t="s">
        <v>330</v>
      </c>
      <c r="AS341" t="s">
        <v>330</v>
      </c>
      <c r="AT341" t="s">
        <v>330</v>
      </c>
      <c r="AU341" t="s">
        <v>330</v>
      </c>
      <c r="AV341" t="s">
        <v>330</v>
      </c>
      <c r="AW341">
        <v>1.8630136986301369</v>
      </c>
    </row>
    <row r="342" spans="2:49" ht="15" customHeight="1" x14ac:dyDescent="0.2">
      <c r="B342" t="s">
        <v>990</v>
      </c>
      <c r="C342" t="s">
        <v>991</v>
      </c>
      <c r="N342" t="s">
        <v>89</v>
      </c>
      <c r="O342">
        <v>217.990170351442</v>
      </c>
      <c r="P342">
        <v>591.45997403553145</v>
      </c>
      <c r="Q342">
        <v>80.300853591542634</v>
      </c>
      <c r="R342" t="s">
        <v>1013</v>
      </c>
      <c r="S342">
        <v>0.93593628262697037</v>
      </c>
      <c r="T342">
        <v>1.8016344781751736</v>
      </c>
      <c r="U342">
        <v>6.8275702610314599E-4</v>
      </c>
      <c r="V342">
        <v>0.47998376863156411</v>
      </c>
      <c r="W342">
        <v>9.2849047375693772E-3</v>
      </c>
      <c r="X342">
        <v>0</v>
      </c>
      <c r="Y342">
        <v>-2.0478364180270372</v>
      </c>
      <c r="Z342">
        <v>0</v>
      </c>
      <c r="AA342">
        <v>0.14705458465851365</v>
      </c>
      <c r="AB342">
        <v>2.4841351069691449</v>
      </c>
      <c r="AC342">
        <v>157.56544923819135</v>
      </c>
      <c r="AD342">
        <v>2179.9017035144202</v>
      </c>
      <c r="AE342">
        <v>0.40758155022699594</v>
      </c>
      <c r="AF342">
        <v>60.459965880167978</v>
      </c>
      <c r="AG342">
        <v>157.53020447127406</v>
      </c>
      <c r="AH342">
        <v>192.43880157348633</v>
      </c>
      <c r="AI342">
        <v>20.136198426513658</v>
      </c>
      <c r="AJ342">
        <v>10.463689371306065</v>
      </c>
      <c r="AK342">
        <v>4.0747241305160893</v>
      </c>
      <c r="AL342">
        <v>-1.680522791871681</v>
      </c>
      <c r="AM342">
        <v>-2.4796859199595929</v>
      </c>
      <c r="AN342">
        <v>7.7459144499948354E-2</v>
      </c>
      <c r="AO342">
        <v>0.79055523550355444</v>
      </c>
      <c r="AP342">
        <v>-10.74126</v>
      </c>
      <c r="AQ342" t="s">
        <v>330</v>
      </c>
      <c r="AR342" t="s">
        <v>330</v>
      </c>
      <c r="AS342">
        <v>-10.74126</v>
      </c>
      <c r="AT342">
        <v>0</v>
      </c>
      <c r="AU342">
        <v>0</v>
      </c>
      <c r="AV342">
        <v>0</v>
      </c>
      <c r="AW342">
        <v>0</v>
      </c>
    </row>
    <row r="343" spans="2:49" ht="15" customHeight="1" x14ac:dyDescent="0.2">
      <c r="B343" t="s">
        <v>992</v>
      </c>
      <c r="C343" t="s">
        <v>993</v>
      </c>
      <c r="N343" t="s">
        <v>89</v>
      </c>
      <c r="O343">
        <v>98.408929580215045</v>
      </c>
      <c r="P343">
        <v>116.18105878137909</v>
      </c>
      <c r="Q343">
        <v>31.282699330370882</v>
      </c>
      <c r="R343" t="s">
        <v>1013</v>
      </c>
      <c r="S343">
        <v>0.51228386801879044</v>
      </c>
      <c r="T343">
        <v>0.34666684490530691</v>
      </c>
      <c r="U343">
        <v>5.9244685397287344E-3</v>
      </c>
      <c r="V343">
        <v>0.66273250986883792</v>
      </c>
      <c r="W343">
        <v>2.5506736271199769E-4</v>
      </c>
      <c r="X343">
        <v>-0.17415775898057728</v>
      </c>
      <c r="Y343">
        <v>-1.6591815710729758</v>
      </c>
      <c r="Z343">
        <v>0</v>
      </c>
      <c r="AA343">
        <v>9.4402279765043964E-2</v>
      </c>
      <c r="AB343">
        <v>4.870450315788874E-2</v>
      </c>
      <c r="AC343">
        <v>143.24938403760308</v>
      </c>
      <c r="AD343">
        <v>98408.929580215045</v>
      </c>
      <c r="AE343">
        <v>4.7650091157373415</v>
      </c>
      <c r="AF343">
        <v>86.349700439012864</v>
      </c>
      <c r="AG343">
        <v>12.059229141202172</v>
      </c>
      <c r="AH343">
        <v>67.689448502798214</v>
      </c>
      <c r="AI343">
        <v>30.67155149720179</v>
      </c>
      <c r="AJ343">
        <v>45.312160426205658</v>
      </c>
      <c r="AK343">
        <v>6.1557034311019354</v>
      </c>
      <c r="AL343">
        <v>-3.4860716940549903</v>
      </c>
      <c r="AM343">
        <v>-4.6015495066336003</v>
      </c>
      <c r="AN343">
        <v>-1.1474246935944263</v>
      </c>
      <c r="AO343">
        <v>3.5441604843942107</v>
      </c>
      <c r="AP343">
        <v>0.62202321085478296</v>
      </c>
      <c r="AQ343" t="s">
        <v>330</v>
      </c>
      <c r="AR343">
        <v>0.72274952021802452</v>
      </c>
      <c r="AS343">
        <v>0.72274952021802452</v>
      </c>
      <c r="AT343">
        <v>0</v>
      </c>
      <c r="AU343">
        <v>0</v>
      </c>
      <c r="AV343">
        <v>0</v>
      </c>
      <c r="AW343">
        <v>0</v>
      </c>
    </row>
    <row r="344" spans="2:49" ht="15" customHeight="1" x14ac:dyDescent="0.2">
      <c r="B344" t="s">
        <v>994</v>
      </c>
      <c r="C344" t="s">
        <v>995</v>
      </c>
      <c r="N344" t="s">
        <v>89</v>
      </c>
      <c r="O344" t="s">
        <v>330</v>
      </c>
      <c r="P344" t="s">
        <v>330</v>
      </c>
      <c r="Q344" t="s">
        <v>330</v>
      </c>
      <c r="R344" t="s">
        <v>1013</v>
      </c>
      <c r="S344" t="s">
        <v>330</v>
      </c>
      <c r="T344" t="s">
        <v>330</v>
      </c>
      <c r="U344" t="s">
        <v>330</v>
      </c>
      <c r="V344" t="s">
        <v>330</v>
      </c>
      <c r="W344" t="s">
        <v>330</v>
      </c>
      <c r="X344" t="s">
        <v>330</v>
      </c>
      <c r="Y344" t="s">
        <v>330</v>
      </c>
      <c r="Z344" t="s">
        <v>330</v>
      </c>
      <c r="AA344" t="s">
        <v>330</v>
      </c>
      <c r="AB344" t="s">
        <v>330</v>
      </c>
      <c r="AC344" t="s">
        <v>330</v>
      </c>
      <c r="AD344" t="e">
        <v>#VALUE!</v>
      </c>
      <c r="AE344" t="s">
        <v>330</v>
      </c>
      <c r="AF344" t="s">
        <v>330</v>
      </c>
      <c r="AG344" t="s">
        <v>330</v>
      </c>
      <c r="AH344" t="s">
        <v>330</v>
      </c>
      <c r="AI344">
        <v>13.644979449025655</v>
      </c>
      <c r="AJ344">
        <v>15.78530582130182</v>
      </c>
      <c r="AK344" t="s">
        <v>330</v>
      </c>
      <c r="AL344" t="s">
        <v>330</v>
      </c>
      <c r="AM344" t="s">
        <v>330</v>
      </c>
      <c r="AN344" t="s">
        <v>330</v>
      </c>
      <c r="AO344" t="s">
        <v>330</v>
      </c>
      <c r="AP344" t="s">
        <v>330</v>
      </c>
      <c r="AQ344" t="s">
        <v>330</v>
      </c>
      <c r="AR344" t="s">
        <v>330</v>
      </c>
      <c r="AS344" t="s">
        <v>330</v>
      </c>
      <c r="AT344" t="s">
        <v>330</v>
      </c>
      <c r="AU344" t="s">
        <v>330</v>
      </c>
      <c r="AV344" t="s">
        <v>330</v>
      </c>
      <c r="AW344">
        <v>0.82065217391304357</v>
      </c>
    </row>
    <row r="345" spans="2:49" ht="15" customHeight="1" x14ac:dyDescent="0.2">
      <c r="B345" t="s">
        <v>996</v>
      </c>
      <c r="C345" t="s">
        <v>997</v>
      </c>
      <c r="N345" t="s">
        <v>89</v>
      </c>
      <c r="O345">
        <v>111.26975026031877</v>
      </c>
      <c r="P345">
        <v>301.41793019690959</v>
      </c>
      <c r="Q345">
        <v>58.764373927826028</v>
      </c>
      <c r="R345" t="s">
        <v>1013</v>
      </c>
      <c r="S345">
        <v>0.75826837741984887</v>
      </c>
      <c r="T345">
        <v>0.68772371887173056</v>
      </c>
      <c r="U345">
        <v>3.0686675811848326E-3</v>
      </c>
      <c r="V345">
        <v>0.54619141356051837</v>
      </c>
      <c r="W345">
        <v>-1.9931581019591248E-3</v>
      </c>
      <c r="X345">
        <v>0</v>
      </c>
      <c r="Y345">
        <v>-1.7444321004232635</v>
      </c>
      <c r="Z345">
        <v>0</v>
      </c>
      <c r="AA345">
        <v>0.14527759151774958</v>
      </c>
      <c r="AB345">
        <v>-2.8257902370816561</v>
      </c>
      <c r="AC345">
        <v>146.18828540587418</v>
      </c>
      <c r="AD345">
        <v>1112.6975026031878</v>
      </c>
      <c r="AE345">
        <v>0.30622555413796598</v>
      </c>
      <c r="AF345">
        <v>71.341487423464756</v>
      </c>
      <c r="AG345">
        <v>39.928262836854032</v>
      </c>
      <c r="AH345">
        <v>90.720835385742191</v>
      </c>
      <c r="AI345">
        <v>23.69316461425781</v>
      </c>
      <c r="AJ345">
        <v>26.116563536386327</v>
      </c>
      <c r="AK345">
        <v>3.5923792595926267</v>
      </c>
      <c r="AL345">
        <v>-1.95129090539956</v>
      </c>
      <c r="AM345">
        <v>-3.1446578441386919</v>
      </c>
      <c r="AN345">
        <v>-0.26115967821209035</v>
      </c>
      <c r="AO345">
        <v>1.7054651575852258</v>
      </c>
      <c r="AP345">
        <v>-2.866406</v>
      </c>
      <c r="AQ345" t="s">
        <v>330</v>
      </c>
      <c r="AR345" t="s">
        <v>330</v>
      </c>
      <c r="AS345">
        <v>-2.866406</v>
      </c>
      <c r="AT345">
        <v>0</v>
      </c>
      <c r="AU345">
        <v>0</v>
      </c>
      <c r="AV345">
        <v>0</v>
      </c>
      <c r="AW345">
        <v>0</v>
      </c>
    </row>
    <row r="346" spans="2:49" ht="15" customHeight="1" x14ac:dyDescent="0.2">
      <c r="B346" t="s">
        <v>998</v>
      </c>
      <c r="C346" t="s">
        <v>999</v>
      </c>
      <c r="N346" t="s">
        <v>89</v>
      </c>
      <c r="O346">
        <v>94.9070863734173</v>
      </c>
      <c r="P346">
        <v>34.98663107617984</v>
      </c>
      <c r="Q346">
        <v>102.0440394643599</v>
      </c>
      <c r="R346" t="s">
        <v>1013</v>
      </c>
      <c r="S346">
        <v>3.5097193190762109E-3</v>
      </c>
      <c r="T346">
        <v>1.3090371385200735E-3</v>
      </c>
      <c r="U346">
        <v>3.1299192870137436E-4</v>
      </c>
      <c r="V346">
        <v>3.1631515968911115E-3</v>
      </c>
      <c r="W346">
        <v>1.2148110848806936E-2</v>
      </c>
      <c r="X346">
        <v>0</v>
      </c>
      <c r="Y346">
        <v>-3.2763657506234582E-3</v>
      </c>
      <c r="Z346">
        <v>0</v>
      </c>
      <c r="AA346">
        <v>3.8947145937812118E-3</v>
      </c>
      <c r="AB346">
        <v>-2.8237234214929234</v>
      </c>
      <c r="AC346">
        <v>142.64074876580349</v>
      </c>
      <c r="AD346">
        <v>949.07086373417303</v>
      </c>
      <c r="AE346">
        <v>1.460789271157912E-3</v>
      </c>
      <c r="AF346">
        <v>95.280948766539041</v>
      </c>
      <c r="AG346">
        <v>-0.37386239312174896</v>
      </c>
      <c r="AH346">
        <v>37.26814963256836</v>
      </c>
      <c r="AI346">
        <v>60.318850367431644</v>
      </c>
      <c r="AJ346">
        <v>161.8509396418207</v>
      </c>
      <c r="AK346">
        <v>0.66173676535396486</v>
      </c>
      <c r="AL346">
        <v>-0.63880676058789732</v>
      </c>
      <c r="AM346">
        <v>-0.77200766451403524</v>
      </c>
      <c r="AN346">
        <v>-0.48078313224202585</v>
      </c>
      <c r="AO346">
        <v>0.6546023144352191</v>
      </c>
      <c r="AP346">
        <v>4.0957249999999998</v>
      </c>
      <c r="AQ346" t="s">
        <v>330</v>
      </c>
      <c r="AR346" t="s">
        <v>330</v>
      </c>
      <c r="AS346">
        <v>4.0957249999999998</v>
      </c>
      <c r="AT346">
        <v>0.38427249531187557</v>
      </c>
      <c r="AU346">
        <v>160.85026764648438</v>
      </c>
      <c r="AV346">
        <v>160.85026764648438</v>
      </c>
      <c r="AW346">
        <v>0.12499999999999999</v>
      </c>
    </row>
    <row r="347" spans="2:49" ht="15" customHeight="1" x14ac:dyDescent="0.2">
      <c r="B347" t="s">
        <v>1000</v>
      </c>
      <c r="C347" t="s">
        <v>1001</v>
      </c>
      <c r="N347" t="s">
        <v>89</v>
      </c>
      <c r="O347">
        <v>90.156755592367574</v>
      </c>
      <c r="P347">
        <v>225.37103233854796</v>
      </c>
      <c r="Q347">
        <v>73.233369407715472</v>
      </c>
      <c r="R347" t="s">
        <v>1013</v>
      </c>
      <c r="S347">
        <v>0.17280519821282844</v>
      </c>
      <c r="T347">
        <v>5.8891801831470456E-2</v>
      </c>
      <c r="U347">
        <v>3.0421952816721853E-3</v>
      </c>
      <c r="V347">
        <v>0.20852328730410227</v>
      </c>
      <c r="W347">
        <v>9.6011065674392743E-3</v>
      </c>
      <c r="X347">
        <v>-0.10680942873324459</v>
      </c>
      <c r="Y347">
        <v>-0.2130336870076604</v>
      </c>
      <c r="Z347">
        <v>0</v>
      </c>
      <c r="AA347">
        <v>0.12679324632529052</v>
      </c>
      <c r="AB347">
        <v>-6.6786391857940428</v>
      </c>
      <c r="AC347">
        <v>154.90858879094182</v>
      </c>
      <c r="AD347">
        <v>90156.755592367568</v>
      </c>
      <c r="AE347">
        <v>0.13245684100272204</v>
      </c>
      <c r="AF347">
        <v>90.051499829072867</v>
      </c>
      <c r="AG347">
        <v>0.10525576329472824</v>
      </c>
      <c r="AH347">
        <v>34.079878638221743</v>
      </c>
      <c r="AI347">
        <v>62.098121361778254</v>
      </c>
      <c r="AJ347">
        <v>182.21344630063646</v>
      </c>
      <c r="AK347">
        <v>4.7460050714783106</v>
      </c>
      <c r="AL347">
        <v>-3.3708462123721254</v>
      </c>
      <c r="AM347">
        <v>-3.6612883018651337</v>
      </c>
      <c r="AN347">
        <v>5.1403662614957074E-3</v>
      </c>
      <c r="AO347">
        <v>3.5047996551936258</v>
      </c>
      <c r="AP347">
        <v>3.6273940038206596</v>
      </c>
      <c r="AQ347" t="s">
        <v>330</v>
      </c>
      <c r="AR347">
        <v>4.1674725517455853</v>
      </c>
      <c r="AS347">
        <v>4.1674725517455853</v>
      </c>
      <c r="AT347">
        <v>2.0794776352180331</v>
      </c>
      <c r="AU347">
        <v>0</v>
      </c>
      <c r="AV347">
        <v>68.870813429072811</v>
      </c>
      <c r="AW347">
        <v>1.3698630136986301</v>
      </c>
    </row>
    <row r="348" spans="2:49" ht="15" customHeight="1" x14ac:dyDescent="0.2">
      <c r="B348" t="s">
        <v>1002</v>
      </c>
      <c r="C348" t="s">
        <v>1003</v>
      </c>
      <c r="N348" t="s">
        <v>89</v>
      </c>
      <c r="O348">
        <v>95.861186332598479</v>
      </c>
      <c r="P348">
        <v>302.79564998978498</v>
      </c>
      <c r="Q348">
        <v>65.705962760771968</v>
      </c>
      <c r="R348" t="s">
        <v>1013</v>
      </c>
      <c r="S348">
        <v>0.67144493384821013</v>
      </c>
      <c r="T348">
        <v>0.43152286122864092</v>
      </c>
      <c r="U348">
        <v>3.1217503775249145E-3</v>
      </c>
      <c r="V348">
        <v>0.43245616597109232</v>
      </c>
      <c r="W348">
        <v>1.4113279265757228E-3</v>
      </c>
      <c r="X348">
        <v>0</v>
      </c>
      <c r="Y348">
        <v>-1.3408448382062497</v>
      </c>
      <c r="Z348">
        <v>0</v>
      </c>
      <c r="AA348">
        <v>0.17884335380883293</v>
      </c>
      <c r="AB348">
        <v>-3.2680731245406873</v>
      </c>
      <c r="AC348">
        <v>147.78867399959904</v>
      </c>
      <c r="AD348">
        <v>958.6118633259847</v>
      </c>
      <c r="AE348">
        <v>0.53801243984638181</v>
      </c>
      <c r="AF348">
        <v>71.341545415372593</v>
      </c>
      <c r="AG348">
        <v>24.5196409172259</v>
      </c>
      <c r="AH348">
        <v>64.236216510772707</v>
      </c>
      <c r="AI348">
        <v>34.757783489227293</v>
      </c>
      <c r="AJ348">
        <v>54.10932551327685</v>
      </c>
      <c r="AK348">
        <v>3.7736210151936218</v>
      </c>
      <c r="AL348">
        <v>-2.3767704273490153</v>
      </c>
      <c r="AM348">
        <v>-3.2410697284059324</v>
      </c>
      <c r="AN348">
        <v>0.5306003213294519</v>
      </c>
      <c r="AO348">
        <v>2.4009237199719329</v>
      </c>
      <c r="AP348">
        <v>0.21690999999999999</v>
      </c>
      <c r="AQ348" t="s">
        <v>330</v>
      </c>
      <c r="AR348" t="s">
        <v>330</v>
      </c>
      <c r="AS348">
        <v>0.21690999999999999</v>
      </c>
      <c r="AT348">
        <v>0</v>
      </c>
      <c r="AU348">
        <v>0</v>
      </c>
      <c r="AV348">
        <v>0</v>
      </c>
      <c r="AW348">
        <v>0</v>
      </c>
    </row>
    <row r="349" spans="2:49" ht="15" customHeight="1" x14ac:dyDescent="0.2">
      <c r="B349" t="s">
        <v>1004</v>
      </c>
      <c r="C349" t="s">
        <v>1005</v>
      </c>
      <c r="N349" t="s">
        <v>89</v>
      </c>
      <c r="O349">
        <v>98.26291378650194</v>
      </c>
      <c r="P349">
        <v>79.382737280822724</v>
      </c>
      <c r="Q349">
        <v>86.038861108514638</v>
      </c>
      <c r="R349" t="s">
        <v>1013</v>
      </c>
      <c r="S349">
        <v>4.0325016064188687E-2</v>
      </c>
      <c r="T349">
        <v>1.4882816615396709E-2</v>
      </c>
      <c r="U349">
        <v>2.5469981197288618E-3</v>
      </c>
      <c r="V349">
        <v>2.9084416282930761E-2</v>
      </c>
      <c r="W349">
        <v>4.4387061657325828E-3</v>
      </c>
      <c r="X349">
        <v>0</v>
      </c>
      <c r="Y349">
        <v>-2.1365111053462647E-2</v>
      </c>
      <c r="Z349">
        <v>0</v>
      </c>
      <c r="AA349">
        <v>4.9617400393872245E-3</v>
      </c>
      <c r="AB349">
        <v>-1.131745610469393</v>
      </c>
      <c r="AC349">
        <v>146.38484705298563</v>
      </c>
      <c r="AD349">
        <v>98262.913786501944</v>
      </c>
      <c r="AE349">
        <v>1.7221518921512781E-2</v>
      </c>
      <c r="AF349">
        <v>98.403084116878162</v>
      </c>
      <c r="AG349">
        <v>-0.14017033037620422</v>
      </c>
      <c r="AH349">
        <v>36.907156073308165</v>
      </c>
      <c r="AI349">
        <v>62.467843926691835</v>
      </c>
      <c r="AJ349">
        <v>169.25672572173491</v>
      </c>
      <c r="AK349">
        <v>2.1978999752370836</v>
      </c>
      <c r="AL349">
        <v>-0.37953041303924695</v>
      </c>
      <c r="AM349">
        <v>-0.42737401965277966</v>
      </c>
      <c r="AN349">
        <v>1.3676551292187668E-2</v>
      </c>
      <c r="AO349">
        <v>0.38191739676905351</v>
      </c>
      <c r="AP349">
        <v>0.27743119419729734</v>
      </c>
      <c r="AQ349" t="s">
        <v>330</v>
      </c>
      <c r="AR349">
        <v>2.3912473794549265</v>
      </c>
      <c r="AS349">
        <v>2.3912473794549265</v>
      </c>
      <c r="AT349">
        <v>0</v>
      </c>
      <c r="AU349">
        <v>0</v>
      </c>
      <c r="AV349">
        <v>0</v>
      </c>
      <c r="AW349">
        <v>0</v>
      </c>
    </row>
    <row r="350" spans="2:49" ht="15" customHeight="1" x14ac:dyDescent="0.2">
      <c r="B350" t="s">
        <v>1006</v>
      </c>
      <c r="C350" t="s">
        <v>1007</v>
      </c>
      <c r="N350" t="s">
        <v>89</v>
      </c>
      <c r="O350">
        <v>98.243565366277608</v>
      </c>
      <c r="P350">
        <v>398.94158106891723</v>
      </c>
      <c r="Q350">
        <v>43.21895364733578</v>
      </c>
      <c r="R350" t="s">
        <v>1013</v>
      </c>
      <c r="S350">
        <v>0.11324603055388682</v>
      </c>
      <c r="T350">
        <v>3.7864973705206154E-2</v>
      </c>
      <c r="U350">
        <v>2.7883863064637531E-3</v>
      </c>
      <c r="V350">
        <v>9.3918895778209846E-2</v>
      </c>
      <c r="W350">
        <v>1.5398422283280524E-2</v>
      </c>
      <c r="X350">
        <v>0</v>
      </c>
      <c r="Y350">
        <v>-7.9199182194555851E-2</v>
      </c>
      <c r="Z350">
        <v>0</v>
      </c>
      <c r="AA350">
        <v>0.15872247693395219</v>
      </c>
      <c r="AB350">
        <v>-2.9960876941556983E-2</v>
      </c>
      <c r="AC350">
        <v>143.05472740729962</v>
      </c>
      <c r="AD350">
        <v>98243.565366277602</v>
      </c>
      <c r="AE350">
        <v>1.166878319408222</v>
      </c>
      <c r="AF350">
        <v>98.950933044193235</v>
      </c>
      <c r="AG350">
        <v>-0.70736767791562305</v>
      </c>
      <c r="AH350">
        <v>33.43602731151671</v>
      </c>
      <c r="AI350">
        <v>64.836972688483286</v>
      </c>
      <c r="AJ350">
        <v>193.91350558608627</v>
      </c>
      <c r="AK350">
        <v>2.4570945399530504</v>
      </c>
      <c r="AL350">
        <v>-2.7278323527947212</v>
      </c>
      <c r="AM350">
        <v>-2.7878952417468827</v>
      </c>
      <c r="AN350">
        <v>0.14154377517303832</v>
      </c>
      <c r="AO350">
        <v>2.7757698989495805</v>
      </c>
      <c r="AP350">
        <v>6.4535297934728675</v>
      </c>
      <c r="AQ350" t="s">
        <v>330</v>
      </c>
      <c r="AR350" t="s">
        <v>330</v>
      </c>
      <c r="AS350">
        <v>6.4535297934728675</v>
      </c>
      <c r="AT350">
        <v>5.8510475919123257</v>
      </c>
      <c r="AU350">
        <v>11.275995250171007</v>
      </c>
      <c r="AV350">
        <v>11.275995250171007</v>
      </c>
      <c r="AW350">
        <v>1.7124316939890711</v>
      </c>
    </row>
    <row r="351" spans="2:49" ht="15" customHeight="1" x14ac:dyDescent="0.2">
      <c r="B351" t="s">
        <v>1008</v>
      </c>
      <c r="C351" t="s">
        <v>329</v>
      </c>
      <c r="N351" t="s">
        <v>89</v>
      </c>
      <c r="O351" t="s">
        <v>329</v>
      </c>
      <c r="P351" t="s">
        <v>329</v>
      </c>
      <c r="Q351" t="s">
        <v>329</v>
      </c>
      <c r="R351" t="s">
        <v>1013</v>
      </c>
      <c r="S351" t="s">
        <v>329</v>
      </c>
      <c r="T351" t="s">
        <v>329</v>
      </c>
      <c r="U351" t="s">
        <v>329</v>
      </c>
      <c r="V351" t="s">
        <v>329</v>
      </c>
      <c r="W351" t="s">
        <v>329</v>
      </c>
      <c r="X351" t="s">
        <v>329</v>
      </c>
      <c r="Y351" t="s">
        <v>329</v>
      </c>
      <c r="Z351" t="s">
        <v>329</v>
      </c>
      <c r="AA351" t="s">
        <v>329</v>
      </c>
      <c r="AB351" t="s">
        <v>329</v>
      </c>
      <c r="AC351" t="s">
        <v>329</v>
      </c>
      <c r="AD351" t="s">
        <v>329</v>
      </c>
      <c r="AE351" t="s">
        <v>329</v>
      </c>
      <c r="AF351" t="s">
        <v>329</v>
      </c>
      <c r="AG351" t="s">
        <v>329</v>
      </c>
      <c r="AH351" t="s">
        <v>329</v>
      </c>
      <c r="AI351" t="s">
        <v>329</v>
      </c>
      <c r="AJ351" t="s">
        <v>329</v>
      </c>
      <c r="AK351" t="s">
        <v>329</v>
      </c>
      <c r="AL351" t="s">
        <v>329</v>
      </c>
      <c r="AM351" t="s">
        <v>329</v>
      </c>
      <c r="AN351" t="s">
        <v>329</v>
      </c>
      <c r="AO351" t="s">
        <v>329</v>
      </c>
      <c r="AP351" t="s">
        <v>329</v>
      </c>
      <c r="AQ351" t="s">
        <v>329</v>
      </c>
      <c r="AR351" t="s">
        <v>329</v>
      </c>
      <c r="AS351" t="s">
        <v>329</v>
      </c>
      <c r="AT351" t="s">
        <v>329</v>
      </c>
      <c r="AU351" t="s">
        <v>329</v>
      </c>
      <c r="AV351" t="s">
        <v>329</v>
      </c>
      <c r="AW351" t="s">
        <v>329</v>
      </c>
    </row>
    <row r="352" spans="2:49" ht="15" customHeight="1" x14ac:dyDescent="0.2">
      <c r="B352" t="s">
        <v>1009</v>
      </c>
      <c r="C352" t="s">
        <v>1010</v>
      </c>
      <c r="N352" t="s">
        <v>89</v>
      </c>
      <c r="O352">
        <v>99.862247051378091</v>
      </c>
      <c r="P352">
        <v>202.65102890054243</v>
      </c>
      <c r="Q352">
        <v>71.466266877391206</v>
      </c>
      <c r="R352" t="s">
        <v>1013</v>
      </c>
      <c r="S352">
        <v>8.497067732019957E-2</v>
      </c>
      <c r="T352">
        <v>2.4289443096748416E-2</v>
      </c>
      <c r="U352">
        <v>2.0712976059089629E-3</v>
      </c>
      <c r="V352">
        <v>6.4702807008114177E-2</v>
      </c>
      <c r="W352">
        <v>1.0500956755509832E-2</v>
      </c>
      <c r="X352">
        <v>1.4712754440770841E-3</v>
      </c>
      <c r="Y352">
        <v>-4.9376161625027067E-2</v>
      </c>
      <c r="Z352">
        <v>0</v>
      </c>
      <c r="AA352">
        <v>7.7152017723174274E-2</v>
      </c>
      <c r="AB352">
        <v>-1.9183955951204261</v>
      </c>
      <c r="AC352">
        <v>144.03246997888252</v>
      </c>
      <c r="AD352">
        <v>99862.247051378101</v>
      </c>
      <c r="AE352">
        <v>0.31859260377251331</v>
      </c>
      <c r="AF352">
        <v>99.917021029884594</v>
      </c>
      <c r="AG352">
        <v>-5.4773978506491398E-2</v>
      </c>
      <c r="AH352">
        <v>28.585676686108076</v>
      </c>
      <c r="AI352">
        <v>73.192323313891933</v>
      </c>
      <c r="AJ352">
        <v>256.04544582798547</v>
      </c>
      <c r="AK352">
        <v>2.3884028239018114</v>
      </c>
      <c r="AL352">
        <v>-2.7760466449800152</v>
      </c>
      <c r="AM352">
        <v>-2.7819906219780388</v>
      </c>
      <c r="AN352">
        <v>9.1269129270144314E-2</v>
      </c>
      <c r="AO352">
        <v>2.7275507919000321</v>
      </c>
      <c r="AP352">
        <v>4.2420617542585237</v>
      </c>
      <c r="AQ352" t="s">
        <v>330</v>
      </c>
      <c r="AR352">
        <v>1.3992821455267777</v>
      </c>
      <c r="AS352">
        <v>4.2420619999999998</v>
      </c>
      <c r="AT352">
        <v>4.9126530291418566</v>
      </c>
      <c r="AU352">
        <v>38.58727089701204</v>
      </c>
      <c r="AV352">
        <v>17.75000671737552</v>
      </c>
      <c r="AW352">
        <v>2.486338797814208</v>
      </c>
    </row>
    <row r="353" spans="2:49" ht="15" customHeight="1" x14ac:dyDescent="0.2">
      <c r="B353" t="s">
        <v>1011</v>
      </c>
      <c r="C353" t="s">
        <v>1012</v>
      </c>
      <c r="N353" t="s">
        <v>89</v>
      </c>
      <c r="O353">
        <v>104.04956830192303</v>
      </c>
      <c r="P353">
        <v>494.98242422459526</v>
      </c>
      <c r="Q353">
        <v>39.704243579840956</v>
      </c>
      <c r="R353" t="s">
        <v>1013</v>
      </c>
      <c r="S353">
        <v>0.61532822340697291</v>
      </c>
      <c r="T353">
        <v>0.47297915042968436</v>
      </c>
      <c r="U353">
        <v>5.6172822083695008E-3</v>
      </c>
      <c r="V353">
        <v>0.57012534014867555</v>
      </c>
      <c r="W353">
        <v>4.7255119135661516E-4</v>
      </c>
      <c r="X353">
        <v>0.18668234415912602</v>
      </c>
      <c r="Y353">
        <v>-1.2823056170525156</v>
      </c>
      <c r="Z353">
        <v>-0.4221330175475565</v>
      </c>
      <c r="AA353">
        <v>0.24714295968257413</v>
      </c>
      <c r="AB353">
        <v>2.6906102039745572</v>
      </c>
      <c r="AC353">
        <v>156.81202270405024</v>
      </c>
      <c r="AD353">
        <v>104049.56830192303</v>
      </c>
      <c r="AE353">
        <v>9.9247619017790942</v>
      </c>
      <c r="AF353">
        <v>85.260535220194029</v>
      </c>
      <c r="AG353">
        <v>18.789033081729009</v>
      </c>
      <c r="AH353">
        <v>76.866155725943329</v>
      </c>
      <c r="AI353">
        <v>24.187641638196197</v>
      </c>
      <c r="AJ353">
        <v>31.387102798796352</v>
      </c>
      <c r="AK353">
        <v>3.6372626454060297</v>
      </c>
      <c r="AL353">
        <v>-1.749367527830691</v>
      </c>
      <c r="AM353">
        <v>-2.8496790241387497</v>
      </c>
      <c r="AN353">
        <v>8.2826840356394746E-2</v>
      </c>
      <c r="AO353">
        <v>1.7277703978574726</v>
      </c>
      <c r="AP353">
        <v>1.517652</v>
      </c>
      <c r="AQ353" t="s">
        <v>330</v>
      </c>
      <c r="AR353">
        <v>1.361769</v>
      </c>
      <c r="AS353">
        <v>1.517652</v>
      </c>
      <c r="AT353">
        <v>0</v>
      </c>
      <c r="AU353">
        <v>0</v>
      </c>
      <c r="AV353">
        <v>0</v>
      </c>
      <c r="AW353">
        <v>0</v>
      </c>
    </row>
  </sheetData>
  <phoneticPr fontId="35" type="noConversion"/>
  <conditionalFormatting sqref="B6">
    <cfRule type="expression" dxfId="663" priority="661">
      <formula>MOD(ROW(),2)=0</formula>
    </cfRule>
    <cfRule type="expression" dxfId="662" priority="662">
      <formula>MOD(ROW(),2)=1</formula>
    </cfRule>
  </conditionalFormatting>
  <conditionalFormatting sqref="S6:AA6">
    <cfRule type="expression" dxfId="661" priority="659">
      <formula>MOD(ROW(),2)=0</formula>
    </cfRule>
    <cfRule type="expression" dxfId="660" priority="660">
      <formula>MOD(ROW(),2)=1</formula>
    </cfRule>
  </conditionalFormatting>
  <conditionalFormatting sqref="AB6:AW6">
    <cfRule type="expression" dxfId="659" priority="657">
      <formula>MOD(ROW(),2)=0</formula>
    </cfRule>
    <cfRule type="expression" dxfId="658" priority="658">
      <formula>MOD(ROW(),2)=1</formula>
    </cfRule>
  </conditionalFormatting>
  <conditionalFormatting sqref="O6:Q6">
    <cfRule type="expression" dxfId="657" priority="653">
      <formula>MOD(ROW(),2)=0</formula>
    </cfRule>
    <cfRule type="expression" dxfId="656" priority="654">
      <formula>MOD(ROW(),2)=1</formula>
    </cfRule>
  </conditionalFormatting>
  <conditionalFormatting sqref="D6:N6">
    <cfRule type="expression" dxfId="655" priority="655">
      <formula>MOD(ROW(),2)=0</formula>
    </cfRule>
    <cfRule type="expression" dxfId="654" priority="656">
      <formula>MOD(ROW(),2)=1</formula>
    </cfRule>
  </conditionalFormatting>
  <conditionalFormatting sqref="C6">
    <cfRule type="expression" dxfId="653" priority="651">
      <formula>MOD(ROW(),2)=0</formula>
    </cfRule>
    <cfRule type="expression" dxfId="652" priority="652">
      <formula>MOD(ROW(),2)=1</formula>
    </cfRule>
  </conditionalFormatting>
  <conditionalFormatting sqref="B8">
    <cfRule type="expression" dxfId="651" priority="649">
      <formula>MOD(ROW(),2)=0</formula>
    </cfRule>
    <cfRule type="expression" dxfId="650" priority="650">
      <formula>MOD(ROW(),2)=1</formula>
    </cfRule>
  </conditionalFormatting>
  <conditionalFormatting sqref="S8:AA8">
    <cfRule type="expression" dxfId="649" priority="647">
      <formula>MOD(ROW(),2)=0</formula>
    </cfRule>
    <cfRule type="expression" dxfId="648" priority="648">
      <formula>MOD(ROW(),2)=1</formula>
    </cfRule>
  </conditionalFormatting>
  <conditionalFormatting sqref="AB8:AW8">
    <cfRule type="expression" dxfId="647" priority="645">
      <formula>MOD(ROW(),2)=0</formula>
    </cfRule>
    <cfRule type="expression" dxfId="646" priority="646">
      <formula>MOD(ROW(),2)=1</formula>
    </cfRule>
  </conditionalFormatting>
  <conditionalFormatting sqref="O8:Q8">
    <cfRule type="expression" dxfId="645" priority="641">
      <formula>MOD(ROW(),2)=0</formula>
    </cfRule>
    <cfRule type="expression" dxfId="644" priority="642">
      <formula>MOD(ROW(),2)=1</formula>
    </cfRule>
  </conditionalFormatting>
  <conditionalFormatting sqref="D8:N8">
    <cfRule type="expression" dxfId="643" priority="643">
      <formula>MOD(ROW(),2)=0</formula>
    </cfRule>
    <cfRule type="expression" dxfId="642" priority="644">
      <formula>MOD(ROW(),2)=1</formula>
    </cfRule>
  </conditionalFormatting>
  <conditionalFormatting sqref="C8">
    <cfRule type="expression" dxfId="641" priority="639">
      <formula>MOD(ROW(),2)=0</formula>
    </cfRule>
    <cfRule type="expression" dxfId="640" priority="640">
      <formula>MOD(ROW(),2)=1</formula>
    </cfRule>
  </conditionalFormatting>
  <conditionalFormatting sqref="B9">
    <cfRule type="expression" dxfId="639" priority="637">
      <formula>MOD(ROW(),2)=0</formula>
    </cfRule>
    <cfRule type="expression" dxfId="638" priority="638">
      <formula>MOD(ROW(),2)=1</formula>
    </cfRule>
  </conditionalFormatting>
  <conditionalFormatting sqref="S9:AA9">
    <cfRule type="expression" dxfId="637" priority="635">
      <formula>MOD(ROW(),2)=0</formula>
    </cfRule>
    <cfRule type="expression" dxfId="636" priority="636">
      <formula>MOD(ROW(),2)=1</formula>
    </cfRule>
  </conditionalFormatting>
  <conditionalFormatting sqref="AB9:AW9">
    <cfRule type="expression" dxfId="635" priority="633">
      <formula>MOD(ROW(),2)=0</formula>
    </cfRule>
    <cfRule type="expression" dxfId="634" priority="634">
      <formula>MOD(ROW(),2)=1</formula>
    </cfRule>
  </conditionalFormatting>
  <conditionalFormatting sqref="O9:Q9">
    <cfRule type="expression" dxfId="633" priority="629">
      <formula>MOD(ROW(),2)=0</formula>
    </cfRule>
    <cfRule type="expression" dxfId="632" priority="630">
      <formula>MOD(ROW(),2)=1</formula>
    </cfRule>
  </conditionalFormatting>
  <conditionalFormatting sqref="D9:N9">
    <cfRule type="expression" dxfId="631" priority="631">
      <formula>MOD(ROW(),2)=0</formula>
    </cfRule>
    <cfRule type="expression" dxfId="630" priority="632">
      <formula>MOD(ROW(),2)=1</formula>
    </cfRule>
  </conditionalFormatting>
  <conditionalFormatting sqref="C9">
    <cfRule type="expression" dxfId="629" priority="627">
      <formula>MOD(ROW(),2)=0</formula>
    </cfRule>
    <cfRule type="expression" dxfId="628" priority="628">
      <formula>MOD(ROW(),2)=1</formula>
    </cfRule>
  </conditionalFormatting>
  <conditionalFormatting sqref="B10">
    <cfRule type="expression" dxfId="627" priority="625">
      <formula>MOD(ROW(),2)=0</formula>
    </cfRule>
    <cfRule type="expression" dxfId="626" priority="626">
      <formula>MOD(ROW(),2)=1</formula>
    </cfRule>
  </conditionalFormatting>
  <conditionalFormatting sqref="S10:AA10">
    <cfRule type="expression" dxfId="625" priority="623">
      <formula>MOD(ROW(),2)=0</formula>
    </cfRule>
    <cfRule type="expression" dxfId="624" priority="624">
      <formula>MOD(ROW(),2)=1</formula>
    </cfRule>
  </conditionalFormatting>
  <conditionalFormatting sqref="AB10:AW10">
    <cfRule type="expression" dxfId="623" priority="621">
      <formula>MOD(ROW(),2)=0</formula>
    </cfRule>
    <cfRule type="expression" dxfId="622" priority="622">
      <formula>MOD(ROW(),2)=1</formula>
    </cfRule>
  </conditionalFormatting>
  <conditionalFormatting sqref="O10:Q10">
    <cfRule type="expression" dxfId="621" priority="617">
      <formula>MOD(ROW(),2)=0</formula>
    </cfRule>
    <cfRule type="expression" dxfId="620" priority="618">
      <formula>MOD(ROW(),2)=1</formula>
    </cfRule>
  </conditionalFormatting>
  <conditionalFormatting sqref="D10:N10">
    <cfRule type="expression" dxfId="619" priority="619">
      <formula>MOD(ROW(),2)=0</formula>
    </cfRule>
    <cfRule type="expression" dxfId="618" priority="620">
      <formula>MOD(ROW(),2)=1</formula>
    </cfRule>
  </conditionalFormatting>
  <conditionalFormatting sqref="C10">
    <cfRule type="expression" dxfId="617" priority="615">
      <formula>MOD(ROW(),2)=0</formula>
    </cfRule>
    <cfRule type="expression" dxfId="616" priority="616">
      <formula>MOD(ROW(),2)=1</formula>
    </cfRule>
  </conditionalFormatting>
  <conditionalFormatting sqref="B11">
    <cfRule type="expression" dxfId="615" priority="613">
      <formula>MOD(ROW(),2)=0</formula>
    </cfRule>
    <cfRule type="expression" dxfId="614" priority="614">
      <formula>MOD(ROW(),2)=1</formula>
    </cfRule>
  </conditionalFormatting>
  <conditionalFormatting sqref="S11:AA11">
    <cfRule type="expression" dxfId="613" priority="611">
      <formula>MOD(ROW(),2)=0</formula>
    </cfRule>
    <cfRule type="expression" dxfId="612" priority="612">
      <formula>MOD(ROW(),2)=1</formula>
    </cfRule>
  </conditionalFormatting>
  <conditionalFormatting sqref="AB11:AW11">
    <cfRule type="expression" dxfId="611" priority="609">
      <formula>MOD(ROW(),2)=0</formula>
    </cfRule>
    <cfRule type="expression" dxfId="610" priority="610">
      <formula>MOD(ROW(),2)=1</formula>
    </cfRule>
  </conditionalFormatting>
  <conditionalFormatting sqref="O11:Q11">
    <cfRule type="expression" dxfId="609" priority="605">
      <formula>MOD(ROW(),2)=0</formula>
    </cfRule>
    <cfRule type="expression" dxfId="608" priority="606">
      <formula>MOD(ROW(),2)=1</formula>
    </cfRule>
  </conditionalFormatting>
  <conditionalFormatting sqref="D11:N11">
    <cfRule type="expression" dxfId="607" priority="607">
      <formula>MOD(ROW(),2)=0</formula>
    </cfRule>
    <cfRule type="expression" dxfId="606" priority="608">
      <formula>MOD(ROW(),2)=1</formula>
    </cfRule>
  </conditionalFormatting>
  <conditionalFormatting sqref="C11">
    <cfRule type="expression" dxfId="605" priority="603">
      <formula>MOD(ROW(),2)=0</formula>
    </cfRule>
    <cfRule type="expression" dxfId="604" priority="604">
      <formula>MOD(ROW(),2)=1</formula>
    </cfRule>
  </conditionalFormatting>
  <conditionalFormatting sqref="B12">
    <cfRule type="expression" dxfId="603" priority="601">
      <formula>MOD(ROW(),2)=0</formula>
    </cfRule>
    <cfRule type="expression" dxfId="602" priority="602">
      <formula>MOD(ROW(),2)=1</formula>
    </cfRule>
  </conditionalFormatting>
  <conditionalFormatting sqref="S12:AA12">
    <cfRule type="expression" dxfId="601" priority="599">
      <formula>MOD(ROW(),2)=0</formula>
    </cfRule>
    <cfRule type="expression" dxfId="600" priority="600">
      <formula>MOD(ROW(),2)=1</formula>
    </cfRule>
  </conditionalFormatting>
  <conditionalFormatting sqref="AB12:AW12">
    <cfRule type="expression" dxfId="599" priority="597">
      <formula>MOD(ROW(),2)=0</formula>
    </cfRule>
    <cfRule type="expression" dxfId="598" priority="598">
      <formula>MOD(ROW(),2)=1</formula>
    </cfRule>
  </conditionalFormatting>
  <conditionalFormatting sqref="O12:Q12">
    <cfRule type="expression" dxfId="597" priority="593">
      <formula>MOD(ROW(),2)=0</formula>
    </cfRule>
    <cfRule type="expression" dxfId="596" priority="594">
      <formula>MOD(ROW(),2)=1</formula>
    </cfRule>
  </conditionalFormatting>
  <conditionalFormatting sqref="D12:N12">
    <cfRule type="expression" dxfId="595" priority="595">
      <formula>MOD(ROW(),2)=0</formula>
    </cfRule>
    <cfRule type="expression" dxfId="594" priority="596">
      <formula>MOD(ROW(),2)=1</formula>
    </cfRule>
  </conditionalFormatting>
  <conditionalFormatting sqref="C12">
    <cfRule type="expression" dxfId="593" priority="591">
      <formula>MOD(ROW(),2)=0</formula>
    </cfRule>
    <cfRule type="expression" dxfId="592" priority="592">
      <formula>MOD(ROW(),2)=1</formula>
    </cfRule>
  </conditionalFormatting>
  <conditionalFormatting sqref="B13">
    <cfRule type="expression" dxfId="591" priority="589">
      <formula>MOD(ROW(),2)=0</formula>
    </cfRule>
    <cfRule type="expression" dxfId="590" priority="590">
      <formula>MOD(ROW(),2)=1</formula>
    </cfRule>
  </conditionalFormatting>
  <conditionalFormatting sqref="S13:AA13">
    <cfRule type="expression" dxfId="589" priority="587">
      <formula>MOD(ROW(),2)=0</formula>
    </cfRule>
    <cfRule type="expression" dxfId="588" priority="588">
      <formula>MOD(ROW(),2)=1</formula>
    </cfRule>
  </conditionalFormatting>
  <conditionalFormatting sqref="AB13:AW13">
    <cfRule type="expression" dxfId="587" priority="585">
      <formula>MOD(ROW(),2)=0</formula>
    </cfRule>
    <cfRule type="expression" dxfId="586" priority="586">
      <formula>MOD(ROW(),2)=1</formula>
    </cfRule>
  </conditionalFormatting>
  <conditionalFormatting sqref="O13:Q13">
    <cfRule type="expression" dxfId="585" priority="581">
      <formula>MOD(ROW(),2)=0</formula>
    </cfRule>
    <cfRule type="expression" dxfId="584" priority="582">
      <formula>MOD(ROW(),2)=1</formula>
    </cfRule>
  </conditionalFormatting>
  <conditionalFormatting sqref="D13:N13">
    <cfRule type="expression" dxfId="583" priority="583">
      <formula>MOD(ROW(),2)=0</formula>
    </cfRule>
    <cfRule type="expression" dxfId="582" priority="584">
      <formula>MOD(ROW(),2)=1</formula>
    </cfRule>
  </conditionalFormatting>
  <conditionalFormatting sqref="C13">
    <cfRule type="expression" dxfId="581" priority="579">
      <formula>MOD(ROW(),2)=0</formula>
    </cfRule>
    <cfRule type="expression" dxfId="580" priority="580">
      <formula>MOD(ROW(),2)=1</formula>
    </cfRule>
  </conditionalFormatting>
  <conditionalFormatting sqref="B14">
    <cfRule type="expression" dxfId="579" priority="577">
      <formula>MOD(ROW(),2)=0</formula>
    </cfRule>
    <cfRule type="expression" dxfId="578" priority="578">
      <formula>MOD(ROW(),2)=1</formula>
    </cfRule>
  </conditionalFormatting>
  <conditionalFormatting sqref="S14:AA14">
    <cfRule type="expression" dxfId="577" priority="575">
      <formula>MOD(ROW(),2)=0</formula>
    </cfRule>
    <cfRule type="expression" dxfId="576" priority="576">
      <formula>MOD(ROW(),2)=1</formula>
    </cfRule>
  </conditionalFormatting>
  <conditionalFormatting sqref="AB14:AW14">
    <cfRule type="expression" dxfId="575" priority="573">
      <formula>MOD(ROW(),2)=0</formula>
    </cfRule>
    <cfRule type="expression" dxfId="574" priority="574">
      <formula>MOD(ROW(),2)=1</formula>
    </cfRule>
  </conditionalFormatting>
  <conditionalFormatting sqref="O14:Q14">
    <cfRule type="expression" dxfId="573" priority="569">
      <formula>MOD(ROW(),2)=0</formula>
    </cfRule>
    <cfRule type="expression" dxfId="572" priority="570">
      <formula>MOD(ROW(),2)=1</formula>
    </cfRule>
  </conditionalFormatting>
  <conditionalFormatting sqref="D14:N14">
    <cfRule type="expression" dxfId="571" priority="571">
      <formula>MOD(ROW(),2)=0</formula>
    </cfRule>
    <cfRule type="expression" dxfId="570" priority="572">
      <formula>MOD(ROW(),2)=1</formula>
    </cfRule>
  </conditionalFormatting>
  <conditionalFormatting sqref="C14">
    <cfRule type="expression" dxfId="569" priority="567">
      <formula>MOD(ROW(),2)=0</formula>
    </cfRule>
    <cfRule type="expression" dxfId="568" priority="568">
      <formula>MOD(ROW(),2)=1</formula>
    </cfRule>
  </conditionalFormatting>
  <conditionalFormatting sqref="B15">
    <cfRule type="expression" dxfId="567" priority="565">
      <formula>MOD(ROW(),2)=0</formula>
    </cfRule>
    <cfRule type="expression" dxfId="566" priority="566">
      <formula>MOD(ROW(),2)=1</formula>
    </cfRule>
  </conditionalFormatting>
  <conditionalFormatting sqref="S15:AA15">
    <cfRule type="expression" dxfId="565" priority="563">
      <formula>MOD(ROW(),2)=0</formula>
    </cfRule>
    <cfRule type="expression" dxfId="564" priority="564">
      <formula>MOD(ROW(),2)=1</formula>
    </cfRule>
  </conditionalFormatting>
  <conditionalFormatting sqref="AB15:AW15">
    <cfRule type="expression" dxfId="563" priority="561">
      <formula>MOD(ROW(),2)=0</formula>
    </cfRule>
    <cfRule type="expression" dxfId="562" priority="562">
      <formula>MOD(ROW(),2)=1</formula>
    </cfRule>
  </conditionalFormatting>
  <conditionalFormatting sqref="O15:Q15">
    <cfRule type="expression" dxfId="561" priority="557">
      <formula>MOD(ROW(),2)=0</formula>
    </cfRule>
    <cfRule type="expression" dxfId="560" priority="558">
      <formula>MOD(ROW(),2)=1</formula>
    </cfRule>
  </conditionalFormatting>
  <conditionalFormatting sqref="D15:N15">
    <cfRule type="expression" dxfId="559" priority="559">
      <formula>MOD(ROW(),2)=0</formula>
    </cfRule>
    <cfRule type="expression" dxfId="558" priority="560">
      <formula>MOD(ROW(),2)=1</formula>
    </cfRule>
  </conditionalFormatting>
  <conditionalFormatting sqref="C15">
    <cfRule type="expression" dxfId="557" priority="555">
      <formula>MOD(ROW(),2)=0</formula>
    </cfRule>
    <cfRule type="expression" dxfId="556" priority="556">
      <formula>MOD(ROW(),2)=1</formula>
    </cfRule>
  </conditionalFormatting>
  <conditionalFormatting sqref="B16">
    <cfRule type="expression" dxfId="555" priority="553">
      <formula>MOD(ROW(),2)=0</formula>
    </cfRule>
    <cfRule type="expression" dxfId="554" priority="554">
      <formula>MOD(ROW(),2)=1</formula>
    </cfRule>
  </conditionalFormatting>
  <conditionalFormatting sqref="S16:AA16">
    <cfRule type="expression" dxfId="553" priority="551">
      <formula>MOD(ROW(),2)=0</formula>
    </cfRule>
    <cfRule type="expression" dxfId="552" priority="552">
      <formula>MOD(ROW(),2)=1</formula>
    </cfRule>
  </conditionalFormatting>
  <conditionalFormatting sqref="AB16:AW16">
    <cfRule type="expression" dxfId="551" priority="549">
      <formula>MOD(ROW(),2)=0</formula>
    </cfRule>
    <cfRule type="expression" dxfId="550" priority="550">
      <formula>MOD(ROW(),2)=1</formula>
    </cfRule>
  </conditionalFormatting>
  <conditionalFormatting sqref="O16:Q16">
    <cfRule type="expression" dxfId="549" priority="545">
      <formula>MOD(ROW(),2)=0</formula>
    </cfRule>
    <cfRule type="expression" dxfId="548" priority="546">
      <formula>MOD(ROW(),2)=1</formula>
    </cfRule>
  </conditionalFormatting>
  <conditionalFormatting sqref="D16:N16">
    <cfRule type="expression" dxfId="547" priority="547">
      <formula>MOD(ROW(),2)=0</formula>
    </cfRule>
    <cfRule type="expression" dxfId="546" priority="548">
      <formula>MOD(ROW(),2)=1</formula>
    </cfRule>
  </conditionalFormatting>
  <conditionalFormatting sqref="C16">
    <cfRule type="expression" dxfId="545" priority="543">
      <formula>MOD(ROW(),2)=0</formula>
    </cfRule>
    <cfRule type="expression" dxfId="544" priority="544">
      <formula>MOD(ROW(),2)=1</formula>
    </cfRule>
  </conditionalFormatting>
  <conditionalFormatting sqref="B17">
    <cfRule type="expression" dxfId="543" priority="541">
      <formula>MOD(ROW(),2)=0</formula>
    </cfRule>
    <cfRule type="expression" dxfId="542" priority="542">
      <formula>MOD(ROW(),2)=1</formula>
    </cfRule>
  </conditionalFormatting>
  <conditionalFormatting sqref="S17:AA17">
    <cfRule type="expression" dxfId="541" priority="539">
      <formula>MOD(ROW(),2)=0</formula>
    </cfRule>
    <cfRule type="expression" dxfId="540" priority="540">
      <formula>MOD(ROW(),2)=1</formula>
    </cfRule>
  </conditionalFormatting>
  <conditionalFormatting sqref="AB17:AW17">
    <cfRule type="expression" dxfId="539" priority="537">
      <formula>MOD(ROW(),2)=0</formula>
    </cfRule>
    <cfRule type="expression" dxfId="538" priority="538">
      <formula>MOD(ROW(),2)=1</formula>
    </cfRule>
  </conditionalFormatting>
  <conditionalFormatting sqref="O17:Q17">
    <cfRule type="expression" dxfId="537" priority="533">
      <formula>MOD(ROW(),2)=0</formula>
    </cfRule>
    <cfRule type="expression" dxfId="536" priority="534">
      <formula>MOD(ROW(),2)=1</formula>
    </cfRule>
  </conditionalFormatting>
  <conditionalFormatting sqref="D17:N17">
    <cfRule type="expression" dxfId="535" priority="535">
      <formula>MOD(ROW(),2)=0</formula>
    </cfRule>
    <cfRule type="expression" dxfId="534" priority="536">
      <formula>MOD(ROW(),2)=1</formula>
    </cfRule>
  </conditionalFormatting>
  <conditionalFormatting sqref="C17">
    <cfRule type="expression" dxfId="533" priority="531">
      <formula>MOD(ROW(),2)=0</formula>
    </cfRule>
    <cfRule type="expression" dxfId="532" priority="532">
      <formula>MOD(ROW(),2)=1</formula>
    </cfRule>
  </conditionalFormatting>
  <conditionalFormatting sqref="B18">
    <cfRule type="expression" dxfId="531" priority="529">
      <formula>MOD(ROW(),2)=0</formula>
    </cfRule>
    <cfRule type="expression" dxfId="530" priority="530">
      <formula>MOD(ROW(),2)=1</formula>
    </cfRule>
  </conditionalFormatting>
  <conditionalFormatting sqref="S18:AA18">
    <cfRule type="expression" dxfId="529" priority="527">
      <formula>MOD(ROW(),2)=0</formula>
    </cfRule>
    <cfRule type="expression" dxfId="528" priority="528">
      <formula>MOD(ROW(),2)=1</formula>
    </cfRule>
  </conditionalFormatting>
  <conditionalFormatting sqref="AB18:AW18">
    <cfRule type="expression" dxfId="527" priority="525">
      <formula>MOD(ROW(),2)=0</formula>
    </cfRule>
    <cfRule type="expression" dxfId="526" priority="526">
      <formula>MOD(ROW(),2)=1</formula>
    </cfRule>
  </conditionalFormatting>
  <conditionalFormatting sqref="O18:Q18">
    <cfRule type="expression" dxfId="525" priority="521">
      <formula>MOD(ROW(),2)=0</formula>
    </cfRule>
    <cfRule type="expression" dxfId="524" priority="522">
      <formula>MOD(ROW(),2)=1</formula>
    </cfRule>
  </conditionalFormatting>
  <conditionalFormatting sqref="D18:N18">
    <cfRule type="expression" dxfId="523" priority="523">
      <formula>MOD(ROW(),2)=0</formula>
    </cfRule>
    <cfRule type="expression" dxfId="522" priority="524">
      <formula>MOD(ROW(),2)=1</formula>
    </cfRule>
  </conditionalFormatting>
  <conditionalFormatting sqref="C18">
    <cfRule type="expression" dxfId="521" priority="519">
      <formula>MOD(ROW(),2)=0</formula>
    </cfRule>
    <cfRule type="expression" dxfId="520" priority="520">
      <formula>MOD(ROW(),2)=1</formula>
    </cfRule>
  </conditionalFormatting>
  <conditionalFormatting sqref="B19">
    <cfRule type="expression" dxfId="519" priority="517">
      <formula>MOD(ROW(),2)=0</formula>
    </cfRule>
    <cfRule type="expression" dxfId="518" priority="518">
      <formula>MOD(ROW(),2)=1</formula>
    </cfRule>
  </conditionalFormatting>
  <conditionalFormatting sqref="S19:AA19">
    <cfRule type="expression" dxfId="517" priority="515">
      <formula>MOD(ROW(),2)=0</formula>
    </cfRule>
    <cfRule type="expression" dxfId="516" priority="516">
      <formula>MOD(ROW(),2)=1</formula>
    </cfRule>
  </conditionalFormatting>
  <conditionalFormatting sqref="AB19:AW19">
    <cfRule type="expression" dxfId="515" priority="513">
      <formula>MOD(ROW(),2)=0</formula>
    </cfRule>
    <cfRule type="expression" dxfId="514" priority="514">
      <formula>MOD(ROW(),2)=1</formula>
    </cfRule>
  </conditionalFormatting>
  <conditionalFormatting sqref="O19:Q19">
    <cfRule type="expression" dxfId="513" priority="509">
      <formula>MOD(ROW(),2)=0</formula>
    </cfRule>
    <cfRule type="expression" dxfId="512" priority="510">
      <formula>MOD(ROW(),2)=1</formula>
    </cfRule>
  </conditionalFormatting>
  <conditionalFormatting sqref="D19:N19">
    <cfRule type="expression" dxfId="511" priority="511">
      <formula>MOD(ROW(),2)=0</formula>
    </cfRule>
    <cfRule type="expression" dxfId="510" priority="512">
      <formula>MOD(ROW(),2)=1</formula>
    </cfRule>
  </conditionalFormatting>
  <conditionalFormatting sqref="C19">
    <cfRule type="expression" dxfId="509" priority="507">
      <formula>MOD(ROW(),2)=0</formula>
    </cfRule>
    <cfRule type="expression" dxfId="508" priority="508">
      <formula>MOD(ROW(),2)=1</formula>
    </cfRule>
  </conditionalFormatting>
  <conditionalFormatting sqref="B20">
    <cfRule type="expression" dxfId="507" priority="505">
      <formula>MOD(ROW(),2)=0</formula>
    </cfRule>
    <cfRule type="expression" dxfId="506" priority="506">
      <formula>MOD(ROW(),2)=1</formula>
    </cfRule>
  </conditionalFormatting>
  <conditionalFormatting sqref="S20:AA20">
    <cfRule type="expression" dxfId="505" priority="503">
      <formula>MOD(ROW(),2)=0</formula>
    </cfRule>
    <cfRule type="expression" dxfId="504" priority="504">
      <formula>MOD(ROW(),2)=1</formula>
    </cfRule>
  </conditionalFormatting>
  <conditionalFormatting sqref="AB20:AW20">
    <cfRule type="expression" dxfId="503" priority="501">
      <formula>MOD(ROW(),2)=0</formula>
    </cfRule>
    <cfRule type="expression" dxfId="502" priority="502">
      <formula>MOD(ROW(),2)=1</formula>
    </cfRule>
  </conditionalFormatting>
  <conditionalFormatting sqref="O20:Q20">
    <cfRule type="expression" dxfId="501" priority="497">
      <formula>MOD(ROW(),2)=0</formula>
    </cfRule>
    <cfRule type="expression" dxfId="500" priority="498">
      <formula>MOD(ROW(),2)=1</formula>
    </cfRule>
  </conditionalFormatting>
  <conditionalFormatting sqref="D20:N20">
    <cfRule type="expression" dxfId="499" priority="499">
      <formula>MOD(ROW(),2)=0</formula>
    </cfRule>
    <cfRule type="expression" dxfId="498" priority="500">
      <formula>MOD(ROW(),2)=1</formula>
    </cfRule>
  </conditionalFormatting>
  <conditionalFormatting sqref="C20">
    <cfRule type="expression" dxfId="497" priority="495">
      <formula>MOD(ROW(),2)=0</formula>
    </cfRule>
    <cfRule type="expression" dxfId="496" priority="496">
      <formula>MOD(ROW(),2)=1</formula>
    </cfRule>
  </conditionalFormatting>
  <conditionalFormatting sqref="B21">
    <cfRule type="expression" dxfId="495" priority="493">
      <formula>MOD(ROW(),2)=0</formula>
    </cfRule>
    <cfRule type="expression" dxfId="494" priority="494">
      <formula>MOD(ROW(),2)=1</formula>
    </cfRule>
  </conditionalFormatting>
  <conditionalFormatting sqref="S21:AA21">
    <cfRule type="expression" dxfId="493" priority="491">
      <formula>MOD(ROW(),2)=0</formula>
    </cfRule>
    <cfRule type="expression" dxfId="492" priority="492">
      <formula>MOD(ROW(),2)=1</formula>
    </cfRule>
  </conditionalFormatting>
  <conditionalFormatting sqref="AB21:AW21">
    <cfRule type="expression" dxfId="491" priority="489">
      <formula>MOD(ROW(),2)=0</formula>
    </cfRule>
    <cfRule type="expression" dxfId="490" priority="490">
      <formula>MOD(ROW(),2)=1</formula>
    </cfRule>
  </conditionalFormatting>
  <conditionalFormatting sqref="O21:Q21">
    <cfRule type="expression" dxfId="489" priority="485">
      <formula>MOD(ROW(),2)=0</formula>
    </cfRule>
    <cfRule type="expression" dxfId="488" priority="486">
      <formula>MOD(ROW(),2)=1</formula>
    </cfRule>
  </conditionalFormatting>
  <conditionalFormatting sqref="D21:N21">
    <cfRule type="expression" dxfId="487" priority="487">
      <formula>MOD(ROW(),2)=0</formula>
    </cfRule>
    <cfRule type="expression" dxfId="486" priority="488">
      <formula>MOD(ROW(),2)=1</formula>
    </cfRule>
  </conditionalFormatting>
  <conditionalFormatting sqref="C21">
    <cfRule type="expression" dxfId="485" priority="483">
      <formula>MOD(ROW(),2)=0</formula>
    </cfRule>
    <cfRule type="expression" dxfId="484" priority="484">
      <formula>MOD(ROW(),2)=1</formula>
    </cfRule>
  </conditionalFormatting>
  <conditionalFormatting sqref="B22">
    <cfRule type="expression" dxfId="483" priority="481">
      <formula>MOD(ROW(),2)=0</formula>
    </cfRule>
    <cfRule type="expression" dxfId="482" priority="482">
      <formula>MOD(ROW(),2)=1</formula>
    </cfRule>
  </conditionalFormatting>
  <conditionalFormatting sqref="S22:AA22">
    <cfRule type="expression" dxfId="481" priority="479">
      <formula>MOD(ROW(),2)=0</formula>
    </cfRule>
    <cfRule type="expression" dxfId="480" priority="480">
      <formula>MOD(ROW(),2)=1</formula>
    </cfRule>
  </conditionalFormatting>
  <conditionalFormatting sqref="AB22:AW22">
    <cfRule type="expression" dxfId="479" priority="477">
      <formula>MOD(ROW(),2)=0</formula>
    </cfRule>
    <cfRule type="expression" dxfId="478" priority="478">
      <formula>MOD(ROW(),2)=1</formula>
    </cfRule>
  </conditionalFormatting>
  <conditionalFormatting sqref="O22:Q22">
    <cfRule type="expression" dxfId="477" priority="473">
      <formula>MOD(ROW(),2)=0</formula>
    </cfRule>
    <cfRule type="expression" dxfId="476" priority="474">
      <formula>MOD(ROW(),2)=1</formula>
    </cfRule>
  </conditionalFormatting>
  <conditionalFormatting sqref="D22:N22">
    <cfRule type="expression" dxfId="475" priority="475">
      <formula>MOD(ROW(),2)=0</formula>
    </cfRule>
    <cfRule type="expression" dxfId="474" priority="476">
      <formula>MOD(ROW(),2)=1</formula>
    </cfRule>
  </conditionalFormatting>
  <conditionalFormatting sqref="C22">
    <cfRule type="expression" dxfId="473" priority="471">
      <formula>MOD(ROW(),2)=0</formula>
    </cfRule>
    <cfRule type="expression" dxfId="472" priority="472">
      <formula>MOD(ROW(),2)=1</formula>
    </cfRule>
  </conditionalFormatting>
  <conditionalFormatting sqref="B23">
    <cfRule type="expression" dxfId="471" priority="469">
      <formula>MOD(ROW(),2)=0</formula>
    </cfRule>
    <cfRule type="expression" dxfId="470" priority="470">
      <formula>MOD(ROW(),2)=1</formula>
    </cfRule>
  </conditionalFormatting>
  <conditionalFormatting sqref="S23:AA23">
    <cfRule type="expression" dxfId="469" priority="467">
      <formula>MOD(ROW(),2)=0</formula>
    </cfRule>
    <cfRule type="expression" dxfId="468" priority="468">
      <formula>MOD(ROW(),2)=1</formula>
    </cfRule>
  </conditionalFormatting>
  <conditionalFormatting sqref="AB23:AW23">
    <cfRule type="expression" dxfId="467" priority="465">
      <formula>MOD(ROW(),2)=0</formula>
    </cfRule>
    <cfRule type="expression" dxfId="466" priority="466">
      <formula>MOD(ROW(),2)=1</formula>
    </cfRule>
  </conditionalFormatting>
  <conditionalFormatting sqref="O23:Q23">
    <cfRule type="expression" dxfId="465" priority="461">
      <formula>MOD(ROW(),2)=0</formula>
    </cfRule>
    <cfRule type="expression" dxfId="464" priority="462">
      <formula>MOD(ROW(),2)=1</formula>
    </cfRule>
  </conditionalFormatting>
  <conditionalFormatting sqref="D23:N23">
    <cfRule type="expression" dxfId="463" priority="463">
      <formula>MOD(ROW(),2)=0</formula>
    </cfRule>
    <cfRule type="expression" dxfId="462" priority="464">
      <formula>MOD(ROW(),2)=1</formula>
    </cfRule>
  </conditionalFormatting>
  <conditionalFormatting sqref="C23">
    <cfRule type="expression" dxfId="461" priority="459">
      <formula>MOD(ROW(),2)=0</formula>
    </cfRule>
    <cfRule type="expression" dxfId="460" priority="460">
      <formula>MOD(ROW(),2)=1</formula>
    </cfRule>
  </conditionalFormatting>
  <conditionalFormatting sqref="B24">
    <cfRule type="expression" dxfId="459" priority="457">
      <formula>MOD(ROW(),2)=0</formula>
    </cfRule>
    <cfRule type="expression" dxfId="458" priority="458">
      <formula>MOD(ROW(),2)=1</formula>
    </cfRule>
  </conditionalFormatting>
  <conditionalFormatting sqref="S24:AA24">
    <cfRule type="expression" dxfId="457" priority="455">
      <formula>MOD(ROW(),2)=0</formula>
    </cfRule>
    <cfRule type="expression" dxfId="456" priority="456">
      <formula>MOD(ROW(),2)=1</formula>
    </cfRule>
  </conditionalFormatting>
  <conditionalFormatting sqref="AB24:AW24">
    <cfRule type="expression" dxfId="455" priority="453">
      <formula>MOD(ROW(),2)=0</formula>
    </cfRule>
    <cfRule type="expression" dxfId="454" priority="454">
      <formula>MOD(ROW(),2)=1</formula>
    </cfRule>
  </conditionalFormatting>
  <conditionalFormatting sqref="O24:Q24">
    <cfRule type="expression" dxfId="453" priority="449">
      <formula>MOD(ROW(),2)=0</formula>
    </cfRule>
    <cfRule type="expression" dxfId="452" priority="450">
      <formula>MOD(ROW(),2)=1</formula>
    </cfRule>
  </conditionalFormatting>
  <conditionalFormatting sqref="D24:N24">
    <cfRule type="expression" dxfId="451" priority="451">
      <formula>MOD(ROW(),2)=0</formula>
    </cfRule>
    <cfRule type="expression" dxfId="450" priority="452">
      <formula>MOD(ROW(),2)=1</formula>
    </cfRule>
  </conditionalFormatting>
  <conditionalFormatting sqref="C24">
    <cfRule type="expression" dxfId="449" priority="447">
      <formula>MOD(ROW(),2)=0</formula>
    </cfRule>
    <cfRule type="expression" dxfId="448" priority="448">
      <formula>MOD(ROW(),2)=1</formula>
    </cfRule>
  </conditionalFormatting>
  <conditionalFormatting sqref="B25">
    <cfRule type="expression" dxfId="447" priority="445">
      <formula>MOD(ROW(),2)=0</formula>
    </cfRule>
    <cfRule type="expression" dxfId="446" priority="446">
      <formula>MOD(ROW(),2)=1</formula>
    </cfRule>
  </conditionalFormatting>
  <conditionalFormatting sqref="S25:AA25">
    <cfRule type="expression" dxfId="445" priority="443">
      <formula>MOD(ROW(),2)=0</formula>
    </cfRule>
    <cfRule type="expression" dxfId="444" priority="444">
      <formula>MOD(ROW(),2)=1</formula>
    </cfRule>
  </conditionalFormatting>
  <conditionalFormatting sqref="AB25:AW25">
    <cfRule type="expression" dxfId="443" priority="441">
      <formula>MOD(ROW(),2)=0</formula>
    </cfRule>
    <cfRule type="expression" dxfId="442" priority="442">
      <formula>MOD(ROW(),2)=1</formula>
    </cfRule>
  </conditionalFormatting>
  <conditionalFormatting sqref="O25:Q25">
    <cfRule type="expression" dxfId="441" priority="437">
      <formula>MOD(ROW(),2)=0</formula>
    </cfRule>
    <cfRule type="expression" dxfId="440" priority="438">
      <formula>MOD(ROW(),2)=1</formula>
    </cfRule>
  </conditionalFormatting>
  <conditionalFormatting sqref="D25:N25">
    <cfRule type="expression" dxfId="439" priority="439">
      <formula>MOD(ROW(),2)=0</formula>
    </cfRule>
    <cfRule type="expression" dxfId="438" priority="440">
      <formula>MOD(ROW(),2)=1</formula>
    </cfRule>
  </conditionalFormatting>
  <conditionalFormatting sqref="C25">
    <cfRule type="expression" dxfId="437" priority="435">
      <formula>MOD(ROW(),2)=0</formula>
    </cfRule>
    <cfRule type="expression" dxfId="436" priority="436">
      <formula>MOD(ROW(),2)=1</formula>
    </cfRule>
  </conditionalFormatting>
  <conditionalFormatting sqref="B26">
    <cfRule type="expression" dxfId="435" priority="433">
      <formula>MOD(ROW(),2)=0</formula>
    </cfRule>
    <cfRule type="expression" dxfId="434" priority="434">
      <formula>MOD(ROW(),2)=1</formula>
    </cfRule>
  </conditionalFormatting>
  <conditionalFormatting sqref="S26:AA26">
    <cfRule type="expression" dxfId="433" priority="431">
      <formula>MOD(ROW(),2)=0</formula>
    </cfRule>
    <cfRule type="expression" dxfId="432" priority="432">
      <formula>MOD(ROW(),2)=1</formula>
    </cfRule>
  </conditionalFormatting>
  <conditionalFormatting sqref="AB26:AW26">
    <cfRule type="expression" dxfId="431" priority="429">
      <formula>MOD(ROW(),2)=0</formula>
    </cfRule>
    <cfRule type="expression" dxfId="430" priority="430">
      <formula>MOD(ROW(),2)=1</formula>
    </cfRule>
  </conditionalFormatting>
  <conditionalFormatting sqref="O26:Q26">
    <cfRule type="expression" dxfId="429" priority="425">
      <formula>MOD(ROW(),2)=0</formula>
    </cfRule>
    <cfRule type="expression" dxfId="428" priority="426">
      <formula>MOD(ROW(),2)=1</formula>
    </cfRule>
  </conditionalFormatting>
  <conditionalFormatting sqref="D26:N26">
    <cfRule type="expression" dxfId="427" priority="427">
      <formula>MOD(ROW(),2)=0</formula>
    </cfRule>
    <cfRule type="expression" dxfId="426" priority="428">
      <formula>MOD(ROW(),2)=1</formula>
    </cfRule>
  </conditionalFormatting>
  <conditionalFormatting sqref="C26">
    <cfRule type="expression" dxfId="425" priority="423">
      <formula>MOD(ROW(),2)=0</formula>
    </cfRule>
    <cfRule type="expression" dxfId="424" priority="424">
      <formula>MOD(ROW(),2)=1</formula>
    </cfRule>
  </conditionalFormatting>
  <conditionalFormatting sqref="B27">
    <cfRule type="expression" dxfId="423" priority="421">
      <formula>MOD(ROW(),2)=0</formula>
    </cfRule>
    <cfRule type="expression" dxfId="422" priority="422">
      <formula>MOD(ROW(),2)=1</formula>
    </cfRule>
  </conditionalFormatting>
  <conditionalFormatting sqref="S27:AA27">
    <cfRule type="expression" dxfId="421" priority="419">
      <formula>MOD(ROW(),2)=0</formula>
    </cfRule>
    <cfRule type="expression" dxfId="420" priority="420">
      <formula>MOD(ROW(),2)=1</formula>
    </cfRule>
  </conditionalFormatting>
  <conditionalFormatting sqref="AB27:AW27">
    <cfRule type="expression" dxfId="419" priority="417">
      <formula>MOD(ROW(),2)=0</formula>
    </cfRule>
    <cfRule type="expression" dxfId="418" priority="418">
      <formula>MOD(ROW(),2)=1</formula>
    </cfRule>
  </conditionalFormatting>
  <conditionalFormatting sqref="O27:Q27">
    <cfRule type="expression" dxfId="417" priority="413">
      <formula>MOD(ROW(),2)=0</formula>
    </cfRule>
    <cfRule type="expression" dxfId="416" priority="414">
      <formula>MOD(ROW(),2)=1</formula>
    </cfRule>
  </conditionalFormatting>
  <conditionalFormatting sqref="D27:N27">
    <cfRule type="expression" dxfId="415" priority="415">
      <formula>MOD(ROW(),2)=0</formula>
    </cfRule>
    <cfRule type="expression" dxfId="414" priority="416">
      <formula>MOD(ROW(),2)=1</formula>
    </cfRule>
  </conditionalFormatting>
  <conditionalFormatting sqref="C27">
    <cfRule type="expression" dxfId="413" priority="411">
      <formula>MOD(ROW(),2)=0</formula>
    </cfRule>
    <cfRule type="expression" dxfId="412" priority="412">
      <formula>MOD(ROW(),2)=1</formula>
    </cfRule>
  </conditionalFormatting>
  <conditionalFormatting sqref="B28">
    <cfRule type="expression" dxfId="411" priority="409">
      <formula>MOD(ROW(),2)=0</formula>
    </cfRule>
    <cfRule type="expression" dxfId="410" priority="410">
      <formula>MOD(ROW(),2)=1</formula>
    </cfRule>
  </conditionalFormatting>
  <conditionalFormatting sqref="S28:AA28">
    <cfRule type="expression" dxfId="409" priority="407">
      <formula>MOD(ROW(),2)=0</formula>
    </cfRule>
    <cfRule type="expression" dxfId="408" priority="408">
      <formula>MOD(ROW(),2)=1</formula>
    </cfRule>
  </conditionalFormatting>
  <conditionalFormatting sqref="AB28:AW28">
    <cfRule type="expression" dxfId="407" priority="405">
      <formula>MOD(ROW(),2)=0</formula>
    </cfRule>
    <cfRule type="expression" dxfId="406" priority="406">
      <formula>MOD(ROW(),2)=1</formula>
    </cfRule>
  </conditionalFormatting>
  <conditionalFormatting sqref="O28:Q28">
    <cfRule type="expression" dxfId="405" priority="401">
      <formula>MOD(ROW(),2)=0</formula>
    </cfRule>
    <cfRule type="expression" dxfId="404" priority="402">
      <formula>MOD(ROW(),2)=1</formula>
    </cfRule>
  </conditionalFormatting>
  <conditionalFormatting sqref="D28:N28">
    <cfRule type="expression" dxfId="403" priority="403">
      <formula>MOD(ROW(),2)=0</formula>
    </cfRule>
    <cfRule type="expression" dxfId="402" priority="404">
      <formula>MOD(ROW(),2)=1</formula>
    </cfRule>
  </conditionalFormatting>
  <conditionalFormatting sqref="C28">
    <cfRule type="expression" dxfId="401" priority="399">
      <formula>MOD(ROW(),2)=0</formula>
    </cfRule>
    <cfRule type="expression" dxfId="400" priority="400">
      <formula>MOD(ROW(),2)=1</formula>
    </cfRule>
  </conditionalFormatting>
  <conditionalFormatting sqref="B29">
    <cfRule type="expression" dxfId="399" priority="397">
      <formula>MOD(ROW(),2)=0</formula>
    </cfRule>
    <cfRule type="expression" dxfId="398" priority="398">
      <formula>MOD(ROW(),2)=1</formula>
    </cfRule>
  </conditionalFormatting>
  <conditionalFormatting sqref="S29:AA29">
    <cfRule type="expression" dxfId="397" priority="395">
      <formula>MOD(ROW(),2)=0</formula>
    </cfRule>
    <cfRule type="expression" dxfId="396" priority="396">
      <formula>MOD(ROW(),2)=1</formula>
    </cfRule>
  </conditionalFormatting>
  <conditionalFormatting sqref="AB29:AW29">
    <cfRule type="expression" dxfId="395" priority="393">
      <formula>MOD(ROW(),2)=0</formula>
    </cfRule>
    <cfRule type="expression" dxfId="394" priority="394">
      <formula>MOD(ROW(),2)=1</formula>
    </cfRule>
  </conditionalFormatting>
  <conditionalFormatting sqref="O29:Q29">
    <cfRule type="expression" dxfId="393" priority="389">
      <formula>MOD(ROW(),2)=0</formula>
    </cfRule>
    <cfRule type="expression" dxfId="392" priority="390">
      <formula>MOD(ROW(),2)=1</formula>
    </cfRule>
  </conditionalFormatting>
  <conditionalFormatting sqref="D29:N29">
    <cfRule type="expression" dxfId="391" priority="391">
      <formula>MOD(ROW(),2)=0</formula>
    </cfRule>
    <cfRule type="expression" dxfId="390" priority="392">
      <formula>MOD(ROW(),2)=1</formula>
    </cfRule>
  </conditionalFormatting>
  <conditionalFormatting sqref="C29">
    <cfRule type="expression" dxfId="389" priority="387">
      <formula>MOD(ROW(),2)=0</formula>
    </cfRule>
    <cfRule type="expression" dxfId="388" priority="388">
      <formula>MOD(ROW(),2)=1</formula>
    </cfRule>
  </conditionalFormatting>
  <conditionalFormatting sqref="B30">
    <cfRule type="expression" dxfId="387" priority="385">
      <formula>MOD(ROW(),2)=0</formula>
    </cfRule>
    <cfRule type="expression" dxfId="386" priority="386">
      <formula>MOD(ROW(),2)=1</formula>
    </cfRule>
  </conditionalFormatting>
  <conditionalFormatting sqref="S30:AA30">
    <cfRule type="expression" dxfId="385" priority="383">
      <formula>MOD(ROW(),2)=0</formula>
    </cfRule>
    <cfRule type="expression" dxfId="384" priority="384">
      <formula>MOD(ROW(),2)=1</formula>
    </cfRule>
  </conditionalFormatting>
  <conditionalFormatting sqref="AB30:AW30">
    <cfRule type="expression" dxfId="383" priority="381">
      <formula>MOD(ROW(),2)=0</formula>
    </cfRule>
    <cfRule type="expression" dxfId="382" priority="382">
      <formula>MOD(ROW(),2)=1</formula>
    </cfRule>
  </conditionalFormatting>
  <conditionalFormatting sqref="O30:Q30">
    <cfRule type="expression" dxfId="381" priority="377">
      <formula>MOD(ROW(),2)=0</formula>
    </cfRule>
    <cfRule type="expression" dxfId="380" priority="378">
      <formula>MOD(ROW(),2)=1</formula>
    </cfRule>
  </conditionalFormatting>
  <conditionalFormatting sqref="D30:N30">
    <cfRule type="expression" dxfId="379" priority="379">
      <formula>MOD(ROW(),2)=0</formula>
    </cfRule>
    <cfRule type="expression" dxfId="378" priority="380">
      <formula>MOD(ROW(),2)=1</formula>
    </cfRule>
  </conditionalFormatting>
  <conditionalFormatting sqref="C30">
    <cfRule type="expression" dxfId="377" priority="375">
      <formula>MOD(ROW(),2)=0</formula>
    </cfRule>
    <cfRule type="expression" dxfId="376" priority="376">
      <formula>MOD(ROW(),2)=1</formula>
    </cfRule>
  </conditionalFormatting>
  <conditionalFormatting sqref="B31">
    <cfRule type="expression" dxfId="375" priority="373">
      <formula>MOD(ROW(),2)=0</formula>
    </cfRule>
    <cfRule type="expression" dxfId="374" priority="374">
      <formula>MOD(ROW(),2)=1</formula>
    </cfRule>
  </conditionalFormatting>
  <conditionalFormatting sqref="S31:AA31">
    <cfRule type="expression" dxfId="373" priority="371">
      <formula>MOD(ROW(),2)=0</formula>
    </cfRule>
    <cfRule type="expression" dxfId="372" priority="372">
      <formula>MOD(ROW(),2)=1</formula>
    </cfRule>
  </conditionalFormatting>
  <conditionalFormatting sqref="AB31:AW31">
    <cfRule type="expression" dxfId="371" priority="369">
      <formula>MOD(ROW(),2)=0</formula>
    </cfRule>
    <cfRule type="expression" dxfId="370" priority="370">
      <formula>MOD(ROW(),2)=1</formula>
    </cfRule>
  </conditionalFormatting>
  <conditionalFormatting sqref="O31:Q31">
    <cfRule type="expression" dxfId="369" priority="365">
      <formula>MOD(ROW(),2)=0</formula>
    </cfRule>
    <cfRule type="expression" dxfId="368" priority="366">
      <formula>MOD(ROW(),2)=1</formula>
    </cfRule>
  </conditionalFormatting>
  <conditionalFormatting sqref="D31:N31">
    <cfRule type="expression" dxfId="367" priority="367">
      <formula>MOD(ROW(),2)=0</formula>
    </cfRule>
    <cfRule type="expression" dxfId="366" priority="368">
      <formula>MOD(ROW(),2)=1</formula>
    </cfRule>
  </conditionalFormatting>
  <conditionalFormatting sqref="C31">
    <cfRule type="expression" dxfId="365" priority="363">
      <formula>MOD(ROW(),2)=0</formula>
    </cfRule>
    <cfRule type="expression" dxfId="364" priority="364">
      <formula>MOD(ROW(),2)=1</formula>
    </cfRule>
  </conditionalFormatting>
  <conditionalFormatting sqref="B32">
    <cfRule type="expression" dxfId="363" priority="361">
      <formula>MOD(ROW(),2)=0</formula>
    </cfRule>
    <cfRule type="expression" dxfId="362" priority="362">
      <formula>MOD(ROW(),2)=1</formula>
    </cfRule>
  </conditionalFormatting>
  <conditionalFormatting sqref="S32:AA32">
    <cfRule type="expression" dxfId="361" priority="359">
      <formula>MOD(ROW(),2)=0</formula>
    </cfRule>
    <cfRule type="expression" dxfId="360" priority="360">
      <formula>MOD(ROW(),2)=1</formula>
    </cfRule>
  </conditionalFormatting>
  <conditionalFormatting sqref="AB32:AW32">
    <cfRule type="expression" dxfId="359" priority="357">
      <formula>MOD(ROW(),2)=0</formula>
    </cfRule>
    <cfRule type="expression" dxfId="358" priority="358">
      <formula>MOD(ROW(),2)=1</formula>
    </cfRule>
  </conditionalFormatting>
  <conditionalFormatting sqref="O32:Q32">
    <cfRule type="expression" dxfId="357" priority="353">
      <formula>MOD(ROW(),2)=0</formula>
    </cfRule>
    <cfRule type="expression" dxfId="356" priority="354">
      <formula>MOD(ROW(),2)=1</formula>
    </cfRule>
  </conditionalFormatting>
  <conditionalFormatting sqref="D32:N32">
    <cfRule type="expression" dxfId="355" priority="355">
      <formula>MOD(ROW(),2)=0</formula>
    </cfRule>
    <cfRule type="expression" dxfId="354" priority="356">
      <formula>MOD(ROW(),2)=1</formula>
    </cfRule>
  </conditionalFormatting>
  <conditionalFormatting sqref="C32">
    <cfRule type="expression" dxfId="353" priority="351">
      <formula>MOD(ROW(),2)=0</formula>
    </cfRule>
    <cfRule type="expression" dxfId="352" priority="352">
      <formula>MOD(ROW(),2)=1</formula>
    </cfRule>
  </conditionalFormatting>
  <conditionalFormatting sqref="B33">
    <cfRule type="expression" dxfId="351" priority="349">
      <formula>MOD(ROW(),2)=0</formula>
    </cfRule>
    <cfRule type="expression" dxfId="350" priority="350">
      <formula>MOD(ROW(),2)=1</formula>
    </cfRule>
  </conditionalFormatting>
  <conditionalFormatting sqref="S33:AA33">
    <cfRule type="expression" dxfId="349" priority="347">
      <formula>MOD(ROW(),2)=0</formula>
    </cfRule>
    <cfRule type="expression" dxfId="348" priority="348">
      <formula>MOD(ROW(),2)=1</formula>
    </cfRule>
  </conditionalFormatting>
  <conditionalFormatting sqref="AB33:AW33">
    <cfRule type="expression" dxfId="347" priority="345">
      <formula>MOD(ROW(),2)=0</formula>
    </cfRule>
    <cfRule type="expression" dxfId="346" priority="346">
      <formula>MOD(ROW(),2)=1</formula>
    </cfRule>
  </conditionalFormatting>
  <conditionalFormatting sqref="O33:Q33">
    <cfRule type="expression" dxfId="345" priority="341">
      <formula>MOD(ROW(),2)=0</formula>
    </cfRule>
    <cfRule type="expression" dxfId="344" priority="342">
      <formula>MOD(ROW(),2)=1</formula>
    </cfRule>
  </conditionalFormatting>
  <conditionalFormatting sqref="D33:N33">
    <cfRule type="expression" dxfId="343" priority="343">
      <formula>MOD(ROW(),2)=0</formula>
    </cfRule>
    <cfRule type="expression" dxfId="342" priority="344">
      <formula>MOD(ROW(),2)=1</formula>
    </cfRule>
  </conditionalFormatting>
  <conditionalFormatting sqref="C33">
    <cfRule type="expression" dxfId="341" priority="339">
      <formula>MOD(ROW(),2)=0</formula>
    </cfRule>
    <cfRule type="expression" dxfId="340" priority="340">
      <formula>MOD(ROW(),2)=1</formula>
    </cfRule>
  </conditionalFormatting>
  <conditionalFormatting sqref="B34">
    <cfRule type="expression" dxfId="339" priority="337">
      <formula>MOD(ROW(),2)=0</formula>
    </cfRule>
    <cfRule type="expression" dxfId="338" priority="338">
      <formula>MOD(ROW(),2)=1</formula>
    </cfRule>
  </conditionalFormatting>
  <conditionalFormatting sqref="S34:AA34">
    <cfRule type="expression" dxfId="337" priority="335">
      <formula>MOD(ROW(),2)=0</formula>
    </cfRule>
    <cfRule type="expression" dxfId="336" priority="336">
      <formula>MOD(ROW(),2)=1</formula>
    </cfRule>
  </conditionalFormatting>
  <conditionalFormatting sqref="AB34:AW34">
    <cfRule type="expression" dxfId="335" priority="333">
      <formula>MOD(ROW(),2)=0</formula>
    </cfRule>
    <cfRule type="expression" dxfId="334" priority="334">
      <formula>MOD(ROW(),2)=1</formula>
    </cfRule>
  </conditionalFormatting>
  <conditionalFormatting sqref="O34:Q34">
    <cfRule type="expression" dxfId="333" priority="329">
      <formula>MOD(ROW(),2)=0</formula>
    </cfRule>
    <cfRule type="expression" dxfId="332" priority="330">
      <formula>MOD(ROW(),2)=1</formula>
    </cfRule>
  </conditionalFormatting>
  <conditionalFormatting sqref="D34:N34">
    <cfRule type="expression" dxfId="331" priority="331">
      <formula>MOD(ROW(),2)=0</formula>
    </cfRule>
    <cfRule type="expression" dxfId="330" priority="332">
      <formula>MOD(ROW(),2)=1</formula>
    </cfRule>
  </conditionalFormatting>
  <conditionalFormatting sqref="C34">
    <cfRule type="expression" dxfId="329" priority="327">
      <formula>MOD(ROW(),2)=0</formula>
    </cfRule>
    <cfRule type="expression" dxfId="328" priority="328">
      <formula>MOD(ROW(),2)=1</formula>
    </cfRule>
  </conditionalFormatting>
  <conditionalFormatting sqref="B35">
    <cfRule type="expression" dxfId="327" priority="325">
      <formula>MOD(ROW(),2)=0</formula>
    </cfRule>
    <cfRule type="expression" dxfId="326" priority="326">
      <formula>MOD(ROW(),2)=1</formula>
    </cfRule>
  </conditionalFormatting>
  <conditionalFormatting sqref="S35:AA35">
    <cfRule type="expression" dxfId="325" priority="323">
      <formula>MOD(ROW(),2)=0</formula>
    </cfRule>
    <cfRule type="expression" dxfId="324" priority="324">
      <formula>MOD(ROW(),2)=1</formula>
    </cfRule>
  </conditionalFormatting>
  <conditionalFormatting sqref="AB35:AW35">
    <cfRule type="expression" dxfId="323" priority="321">
      <formula>MOD(ROW(),2)=0</formula>
    </cfRule>
    <cfRule type="expression" dxfId="322" priority="322">
      <formula>MOD(ROW(),2)=1</formula>
    </cfRule>
  </conditionalFormatting>
  <conditionalFormatting sqref="O35:Q35">
    <cfRule type="expression" dxfId="321" priority="317">
      <formula>MOD(ROW(),2)=0</formula>
    </cfRule>
    <cfRule type="expression" dxfId="320" priority="318">
      <formula>MOD(ROW(),2)=1</formula>
    </cfRule>
  </conditionalFormatting>
  <conditionalFormatting sqref="D35:N35">
    <cfRule type="expression" dxfId="319" priority="319">
      <formula>MOD(ROW(),2)=0</formula>
    </cfRule>
    <cfRule type="expression" dxfId="318" priority="320">
      <formula>MOD(ROW(),2)=1</formula>
    </cfRule>
  </conditionalFormatting>
  <conditionalFormatting sqref="C35">
    <cfRule type="expression" dxfId="317" priority="315">
      <formula>MOD(ROW(),2)=0</formula>
    </cfRule>
    <cfRule type="expression" dxfId="316" priority="316">
      <formula>MOD(ROW(),2)=1</formula>
    </cfRule>
  </conditionalFormatting>
  <conditionalFormatting sqref="B36">
    <cfRule type="expression" dxfId="315" priority="313">
      <formula>MOD(ROW(),2)=0</formula>
    </cfRule>
    <cfRule type="expression" dxfId="314" priority="314">
      <formula>MOD(ROW(),2)=1</formula>
    </cfRule>
  </conditionalFormatting>
  <conditionalFormatting sqref="S36:AA36">
    <cfRule type="expression" dxfId="313" priority="311">
      <formula>MOD(ROW(),2)=0</formula>
    </cfRule>
    <cfRule type="expression" dxfId="312" priority="312">
      <formula>MOD(ROW(),2)=1</formula>
    </cfRule>
  </conditionalFormatting>
  <conditionalFormatting sqref="AB36:AW36">
    <cfRule type="expression" dxfId="311" priority="309">
      <formula>MOD(ROW(),2)=0</formula>
    </cfRule>
    <cfRule type="expression" dxfId="310" priority="310">
      <formula>MOD(ROW(),2)=1</formula>
    </cfRule>
  </conditionalFormatting>
  <conditionalFormatting sqref="O36:Q36">
    <cfRule type="expression" dxfId="309" priority="305">
      <formula>MOD(ROW(),2)=0</formula>
    </cfRule>
    <cfRule type="expression" dxfId="308" priority="306">
      <formula>MOD(ROW(),2)=1</formula>
    </cfRule>
  </conditionalFormatting>
  <conditionalFormatting sqref="D36:N36">
    <cfRule type="expression" dxfId="307" priority="307">
      <formula>MOD(ROW(),2)=0</formula>
    </cfRule>
    <cfRule type="expression" dxfId="306" priority="308">
      <formula>MOD(ROW(),2)=1</formula>
    </cfRule>
  </conditionalFormatting>
  <conditionalFormatting sqref="C36">
    <cfRule type="expression" dxfId="305" priority="303">
      <formula>MOD(ROW(),2)=0</formula>
    </cfRule>
    <cfRule type="expression" dxfId="304" priority="304">
      <formula>MOD(ROW(),2)=1</formula>
    </cfRule>
  </conditionalFormatting>
  <conditionalFormatting sqref="B37">
    <cfRule type="expression" dxfId="303" priority="301">
      <formula>MOD(ROW(),2)=0</formula>
    </cfRule>
    <cfRule type="expression" dxfId="302" priority="302">
      <formula>MOD(ROW(),2)=1</formula>
    </cfRule>
  </conditionalFormatting>
  <conditionalFormatting sqref="S37:AA37">
    <cfRule type="expression" dxfId="301" priority="299">
      <formula>MOD(ROW(),2)=0</formula>
    </cfRule>
    <cfRule type="expression" dxfId="300" priority="300">
      <formula>MOD(ROW(),2)=1</formula>
    </cfRule>
  </conditionalFormatting>
  <conditionalFormatting sqref="AB37:AW37">
    <cfRule type="expression" dxfId="299" priority="297">
      <formula>MOD(ROW(),2)=0</formula>
    </cfRule>
    <cfRule type="expression" dxfId="298" priority="298">
      <formula>MOD(ROW(),2)=1</formula>
    </cfRule>
  </conditionalFormatting>
  <conditionalFormatting sqref="O37:Q37">
    <cfRule type="expression" dxfId="297" priority="293">
      <formula>MOD(ROW(),2)=0</formula>
    </cfRule>
    <cfRule type="expression" dxfId="296" priority="294">
      <formula>MOD(ROW(),2)=1</formula>
    </cfRule>
  </conditionalFormatting>
  <conditionalFormatting sqref="D37:N37">
    <cfRule type="expression" dxfId="295" priority="295">
      <formula>MOD(ROW(),2)=0</formula>
    </cfRule>
    <cfRule type="expression" dxfId="294" priority="296">
      <formula>MOD(ROW(),2)=1</formula>
    </cfRule>
  </conditionalFormatting>
  <conditionalFormatting sqref="C37">
    <cfRule type="expression" dxfId="293" priority="291">
      <formula>MOD(ROW(),2)=0</formula>
    </cfRule>
    <cfRule type="expression" dxfId="292" priority="292">
      <formula>MOD(ROW(),2)=1</formula>
    </cfRule>
  </conditionalFormatting>
  <conditionalFormatting sqref="B38">
    <cfRule type="expression" dxfId="291" priority="289">
      <formula>MOD(ROW(),2)=0</formula>
    </cfRule>
    <cfRule type="expression" dxfId="290" priority="290">
      <formula>MOD(ROW(),2)=1</formula>
    </cfRule>
  </conditionalFormatting>
  <conditionalFormatting sqref="S38:AA38">
    <cfRule type="expression" dxfId="289" priority="287">
      <formula>MOD(ROW(),2)=0</formula>
    </cfRule>
    <cfRule type="expression" dxfId="288" priority="288">
      <formula>MOD(ROW(),2)=1</formula>
    </cfRule>
  </conditionalFormatting>
  <conditionalFormatting sqref="AB38:AW38">
    <cfRule type="expression" dxfId="287" priority="285">
      <formula>MOD(ROW(),2)=0</formula>
    </cfRule>
    <cfRule type="expression" dxfId="286" priority="286">
      <formula>MOD(ROW(),2)=1</formula>
    </cfRule>
  </conditionalFormatting>
  <conditionalFormatting sqref="O38:Q38">
    <cfRule type="expression" dxfId="285" priority="281">
      <formula>MOD(ROW(),2)=0</formula>
    </cfRule>
    <cfRule type="expression" dxfId="284" priority="282">
      <formula>MOD(ROW(),2)=1</formula>
    </cfRule>
  </conditionalFormatting>
  <conditionalFormatting sqref="D38:N38">
    <cfRule type="expression" dxfId="283" priority="283">
      <formula>MOD(ROW(),2)=0</formula>
    </cfRule>
    <cfRule type="expression" dxfId="282" priority="284">
      <formula>MOD(ROW(),2)=1</formula>
    </cfRule>
  </conditionalFormatting>
  <conditionalFormatting sqref="C38">
    <cfRule type="expression" dxfId="281" priority="279">
      <formula>MOD(ROW(),2)=0</formula>
    </cfRule>
    <cfRule type="expression" dxfId="280" priority="280">
      <formula>MOD(ROW(),2)=1</formula>
    </cfRule>
  </conditionalFormatting>
  <conditionalFormatting sqref="B39">
    <cfRule type="expression" dxfId="279" priority="277">
      <formula>MOD(ROW(),2)=0</formula>
    </cfRule>
    <cfRule type="expression" dxfId="278" priority="278">
      <formula>MOD(ROW(),2)=1</formula>
    </cfRule>
  </conditionalFormatting>
  <conditionalFormatting sqref="S39:AA39">
    <cfRule type="expression" dxfId="277" priority="275">
      <formula>MOD(ROW(),2)=0</formula>
    </cfRule>
    <cfRule type="expression" dxfId="276" priority="276">
      <formula>MOD(ROW(),2)=1</formula>
    </cfRule>
  </conditionalFormatting>
  <conditionalFormatting sqref="AB39:AW39">
    <cfRule type="expression" dxfId="275" priority="273">
      <formula>MOD(ROW(),2)=0</formula>
    </cfRule>
    <cfRule type="expression" dxfId="274" priority="274">
      <formula>MOD(ROW(),2)=1</formula>
    </cfRule>
  </conditionalFormatting>
  <conditionalFormatting sqref="O39:Q39">
    <cfRule type="expression" dxfId="273" priority="269">
      <formula>MOD(ROW(),2)=0</formula>
    </cfRule>
    <cfRule type="expression" dxfId="272" priority="270">
      <formula>MOD(ROW(),2)=1</formula>
    </cfRule>
  </conditionalFormatting>
  <conditionalFormatting sqref="D39:N39">
    <cfRule type="expression" dxfId="271" priority="271">
      <formula>MOD(ROW(),2)=0</formula>
    </cfRule>
    <cfRule type="expression" dxfId="270" priority="272">
      <formula>MOD(ROW(),2)=1</formula>
    </cfRule>
  </conditionalFormatting>
  <conditionalFormatting sqref="C39">
    <cfRule type="expression" dxfId="269" priority="267">
      <formula>MOD(ROW(),2)=0</formula>
    </cfRule>
    <cfRule type="expression" dxfId="268" priority="268">
      <formula>MOD(ROW(),2)=1</formula>
    </cfRule>
  </conditionalFormatting>
  <conditionalFormatting sqref="B40">
    <cfRule type="expression" dxfId="267" priority="265">
      <formula>MOD(ROW(),2)=0</formula>
    </cfRule>
    <cfRule type="expression" dxfId="266" priority="266">
      <formula>MOD(ROW(),2)=1</formula>
    </cfRule>
  </conditionalFormatting>
  <conditionalFormatting sqref="S40:AA40">
    <cfRule type="expression" dxfId="265" priority="263">
      <formula>MOD(ROW(),2)=0</formula>
    </cfRule>
    <cfRule type="expression" dxfId="264" priority="264">
      <formula>MOD(ROW(),2)=1</formula>
    </cfRule>
  </conditionalFormatting>
  <conditionalFormatting sqref="AB40:AW40">
    <cfRule type="expression" dxfId="263" priority="261">
      <formula>MOD(ROW(),2)=0</formula>
    </cfRule>
    <cfRule type="expression" dxfId="262" priority="262">
      <formula>MOD(ROW(),2)=1</formula>
    </cfRule>
  </conditionalFormatting>
  <conditionalFormatting sqref="O40:Q40">
    <cfRule type="expression" dxfId="261" priority="257">
      <formula>MOD(ROW(),2)=0</formula>
    </cfRule>
    <cfRule type="expression" dxfId="260" priority="258">
      <formula>MOD(ROW(),2)=1</formula>
    </cfRule>
  </conditionalFormatting>
  <conditionalFormatting sqref="D40:N40">
    <cfRule type="expression" dxfId="259" priority="259">
      <formula>MOD(ROW(),2)=0</formula>
    </cfRule>
    <cfRule type="expression" dxfId="258" priority="260">
      <formula>MOD(ROW(),2)=1</formula>
    </cfRule>
  </conditionalFormatting>
  <conditionalFormatting sqref="C40">
    <cfRule type="expression" dxfId="257" priority="255">
      <formula>MOD(ROW(),2)=0</formula>
    </cfRule>
    <cfRule type="expression" dxfId="256" priority="256">
      <formula>MOD(ROW(),2)=1</formula>
    </cfRule>
  </conditionalFormatting>
  <conditionalFormatting sqref="B41">
    <cfRule type="expression" dxfId="255" priority="253">
      <formula>MOD(ROW(),2)=0</formula>
    </cfRule>
    <cfRule type="expression" dxfId="254" priority="254">
      <formula>MOD(ROW(),2)=1</formula>
    </cfRule>
  </conditionalFormatting>
  <conditionalFormatting sqref="S41:AA41">
    <cfRule type="expression" dxfId="253" priority="251">
      <formula>MOD(ROW(),2)=0</formula>
    </cfRule>
    <cfRule type="expression" dxfId="252" priority="252">
      <formula>MOD(ROW(),2)=1</formula>
    </cfRule>
  </conditionalFormatting>
  <conditionalFormatting sqref="AB41:AW41">
    <cfRule type="expression" dxfId="251" priority="249">
      <formula>MOD(ROW(),2)=0</formula>
    </cfRule>
    <cfRule type="expression" dxfId="250" priority="250">
      <formula>MOD(ROW(),2)=1</formula>
    </cfRule>
  </conditionalFormatting>
  <conditionalFormatting sqref="O41:Q41">
    <cfRule type="expression" dxfId="249" priority="245">
      <formula>MOD(ROW(),2)=0</formula>
    </cfRule>
    <cfRule type="expression" dxfId="248" priority="246">
      <formula>MOD(ROW(),2)=1</formula>
    </cfRule>
  </conditionalFormatting>
  <conditionalFormatting sqref="D41:N41">
    <cfRule type="expression" dxfId="247" priority="247">
      <formula>MOD(ROW(),2)=0</formula>
    </cfRule>
    <cfRule type="expression" dxfId="246" priority="248">
      <formula>MOD(ROW(),2)=1</formula>
    </cfRule>
  </conditionalFormatting>
  <conditionalFormatting sqref="C41">
    <cfRule type="expression" dxfId="245" priority="243">
      <formula>MOD(ROW(),2)=0</formula>
    </cfRule>
    <cfRule type="expression" dxfId="244" priority="244">
      <formula>MOD(ROW(),2)=1</formula>
    </cfRule>
  </conditionalFormatting>
  <conditionalFormatting sqref="B42">
    <cfRule type="expression" dxfId="243" priority="241">
      <formula>MOD(ROW(),2)=0</formula>
    </cfRule>
    <cfRule type="expression" dxfId="242" priority="242">
      <formula>MOD(ROW(),2)=1</formula>
    </cfRule>
  </conditionalFormatting>
  <conditionalFormatting sqref="S42:AA42">
    <cfRule type="expression" dxfId="241" priority="239">
      <formula>MOD(ROW(),2)=0</formula>
    </cfRule>
    <cfRule type="expression" dxfId="240" priority="240">
      <formula>MOD(ROW(),2)=1</formula>
    </cfRule>
  </conditionalFormatting>
  <conditionalFormatting sqref="AB42:AW42">
    <cfRule type="expression" dxfId="239" priority="237">
      <formula>MOD(ROW(),2)=0</formula>
    </cfRule>
    <cfRule type="expression" dxfId="238" priority="238">
      <formula>MOD(ROW(),2)=1</formula>
    </cfRule>
  </conditionalFormatting>
  <conditionalFormatting sqref="O42:Q42">
    <cfRule type="expression" dxfId="237" priority="233">
      <formula>MOD(ROW(),2)=0</formula>
    </cfRule>
    <cfRule type="expression" dxfId="236" priority="234">
      <formula>MOD(ROW(),2)=1</formula>
    </cfRule>
  </conditionalFormatting>
  <conditionalFormatting sqref="D42:N42">
    <cfRule type="expression" dxfId="235" priority="235">
      <formula>MOD(ROW(),2)=0</formula>
    </cfRule>
    <cfRule type="expression" dxfId="234" priority="236">
      <formula>MOD(ROW(),2)=1</formula>
    </cfRule>
  </conditionalFormatting>
  <conditionalFormatting sqref="C42">
    <cfRule type="expression" dxfId="233" priority="231">
      <formula>MOD(ROW(),2)=0</formula>
    </cfRule>
    <cfRule type="expression" dxfId="232" priority="232">
      <formula>MOD(ROW(),2)=1</formula>
    </cfRule>
  </conditionalFormatting>
  <conditionalFormatting sqref="B43">
    <cfRule type="expression" dxfId="231" priority="229">
      <formula>MOD(ROW(),2)=0</formula>
    </cfRule>
    <cfRule type="expression" dxfId="230" priority="230">
      <formula>MOD(ROW(),2)=1</formula>
    </cfRule>
  </conditionalFormatting>
  <conditionalFormatting sqref="S43:AA43">
    <cfRule type="expression" dxfId="229" priority="227">
      <formula>MOD(ROW(),2)=0</formula>
    </cfRule>
    <cfRule type="expression" dxfId="228" priority="228">
      <formula>MOD(ROW(),2)=1</formula>
    </cfRule>
  </conditionalFormatting>
  <conditionalFormatting sqref="AB43:AW43">
    <cfRule type="expression" dxfId="227" priority="225">
      <formula>MOD(ROW(),2)=0</formula>
    </cfRule>
    <cfRule type="expression" dxfId="226" priority="226">
      <formula>MOD(ROW(),2)=1</formula>
    </cfRule>
  </conditionalFormatting>
  <conditionalFormatting sqref="O43:Q43">
    <cfRule type="expression" dxfId="225" priority="221">
      <formula>MOD(ROW(),2)=0</formula>
    </cfRule>
    <cfRule type="expression" dxfId="224" priority="222">
      <formula>MOD(ROW(),2)=1</formula>
    </cfRule>
  </conditionalFormatting>
  <conditionalFormatting sqref="D43:N43">
    <cfRule type="expression" dxfId="223" priority="223">
      <formula>MOD(ROW(),2)=0</formula>
    </cfRule>
    <cfRule type="expression" dxfId="222" priority="224">
      <formula>MOD(ROW(),2)=1</formula>
    </cfRule>
  </conditionalFormatting>
  <conditionalFormatting sqref="C43">
    <cfRule type="expression" dxfId="221" priority="219">
      <formula>MOD(ROW(),2)=0</formula>
    </cfRule>
    <cfRule type="expression" dxfId="220" priority="220">
      <formula>MOD(ROW(),2)=1</formula>
    </cfRule>
  </conditionalFormatting>
  <conditionalFormatting sqref="B44">
    <cfRule type="expression" dxfId="219" priority="217">
      <formula>MOD(ROW(),2)=0</formula>
    </cfRule>
    <cfRule type="expression" dxfId="218" priority="218">
      <formula>MOD(ROW(),2)=1</formula>
    </cfRule>
  </conditionalFormatting>
  <conditionalFormatting sqref="S44:AA44">
    <cfRule type="expression" dxfId="217" priority="215">
      <formula>MOD(ROW(),2)=0</formula>
    </cfRule>
    <cfRule type="expression" dxfId="216" priority="216">
      <formula>MOD(ROW(),2)=1</formula>
    </cfRule>
  </conditionalFormatting>
  <conditionalFormatting sqref="AB44:AW44">
    <cfRule type="expression" dxfId="215" priority="213">
      <formula>MOD(ROW(),2)=0</formula>
    </cfRule>
    <cfRule type="expression" dxfId="214" priority="214">
      <formula>MOD(ROW(),2)=1</formula>
    </cfRule>
  </conditionalFormatting>
  <conditionalFormatting sqref="O44:Q44">
    <cfRule type="expression" dxfId="213" priority="209">
      <formula>MOD(ROW(),2)=0</formula>
    </cfRule>
    <cfRule type="expression" dxfId="212" priority="210">
      <formula>MOD(ROW(),2)=1</formula>
    </cfRule>
  </conditionalFormatting>
  <conditionalFormatting sqref="D44:N44">
    <cfRule type="expression" dxfId="211" priority="211">
      <formula>MOD(ROW(),2)=0</formula>
    </cfRule>
    <cfRule type="expression" dxfId="210" priority="212">
      <formula>MOD(ROW(),2)=1</formula>
    </cfRule>
  </conditionalFormatting>
  <conditionalFormatting sqref="C44">
    <cfRule type="expression" dxfId="209" priority="207">
      <formula>MOD(ROW(),2)=0</formula>
    </cfRule>
    <cfRule type="expression" dxfId="208" priority="208">
      <formula>MOD(ROW(),2)=1</formula>
    </cfRule>
  </conditionalFormatting>
  <conditionalFormatting sqref="B45">
    <cfRule type="expression" dxfId="207" priority="205">
      <formula>MOD(ROW(),2)=0</formula>
    </cfRule>
    <cfRule type="expression" dxfId="206" priority="206">
      <formula>MOD(ROW(),2)=1</formula>
    </cfRule>
  </conditionalFormatting>
  <conditionalFormatting sqref="S45:AA45">
    <cfRule type="expression" dxfId="205" priority="203">
      <formula>MOD(ROW(),2)=0</formula>
    </cfRule>
    <cfRule type="expression" dxfId="204" priority="204">
      <formula>MOD(ROW(),2)=1</formula>
    </cfRule>
  </conditionalFormatting>
  <conditionalFormatting sqref="AB45:AW45">
    <cfRule type="expression" dxfId="203" priority="201">
      <formula>MOD(ROW(),2)=0</formula>
    </cfRule>
    <cfRule type="expression" dxfId="202" priority="202">
      <formula>MOD(ROW(),2)=1</formula>
    </cfRule>
  </conditionalFormatting>
  <conditionalFormatting sqref="O45:Q45">
    <cfRule type="expression" dxfId="201" priority="197">
      <formula>MOD(ROW(),2)=0</formula>
    </cfRule>
    <cfRule type="expression" dxfId="200" priority="198">
      <formula>MOD(ROW(),2)=1</formula>
    </cfRule>
  </conditionalFormatting>
  <conditionalFormatting sqref="D45:N45">
    <cfRule type="expression" dxfId="199" priority="199">
      <formula>MOD(ROW(),2)=0</formula>
    </cfRule>
    <cfRule type="expression" dxfId="198" priority="200">
      <formula>MOD(ROW(),2)=1</formula>
    </cfRule>
  </conditionalFormatting>
  <conditionalFormatting sqref="C45">
    <cfRule type="expression" dxfId="197" priority="195">
      <formula>MOD(ROW(),2)=0</formula>
    </cfRule>
    <cfRule type="expression" dxfId="196" priority="196">
      <formula>MOD(ROW(),2)=1</formula>
    </cfRule>
  </conditionalFormatting>
  <conditionalFormatting sqref="B46">
    <cfRule type="expression" dxfId="195" priority="193">
      <formula>MOD(ROW(),2)=0</formula>
    </cfRule>
    <cfRule type="expression" dxfId="194" priority="194">
      <formula>MOD(ROW(),2)=1</formula>
    </cfRule>
  </conditionalFormatting>
  <conditionalFormatting sqref="S46:AA46">
    <cfRule type="expression" dxfId="193" priority="191">
      <formula>MOD(ROW(),2)=0</formula>
    </cfRule>
    <cfRule type="expression" dxfId="192" priority="192">
      <formula>MOD(ROW(),2)=1</formula>
    </cfRule>
  </conditionalFormatting>
  <conditionalFormatting sqref="AB46:AW46">
    <cfRule type="expression" dxfId="191" priority="189">
      <formula>MOD(ROW(),2)=0</formula>
    </cfRule>
    <cfRule type="expression" dxfId="190" priority="190">
      <formula>MOD(ROW(),2)=1</formula>
    </cfRule>
  </conditionalFormatting>
  <conditionalFormatting sqref="O46:Q46">
    <cfRule type="expression" dxfId="189" priority="185">
      <formula>MOD(ROW(),2)=0</formula>
    </cfRule>
    <cfRule type="expression" dxfId="188" priority="186">
      <formula>MOD(ROW(),2)=1</formula>
    </cfRule>
  </conditionalFormatting>
  <conditionalFormatting sqref="D46:N46">
    <cfRule type="expression" dxfId="187" priority="187">
      <formula>MOD(ROW(),2)=0</formula>
    </cfRule>
    <cfRule type="expression" dxfId="186" priority="188">
      <formula>MOD(ROW(),2)=1</formula>
    </cfRule>
  </conditionalFormatting>
  <conditionalFormatting sqref="C46">
    <cfRule type="expression" dxfId="185" priority="183">
      <formula>MOD(ROW(),2)=0</formula>
    </cfRule>
    <cfRule type="expression" dxfId="184" priority="184">
      <formula>MOD(ROW(),2)=1</formula>
    </cfRule>
  </conditionalFormatting>
  <conditionalFormatting sqref="B47">
    <cfRule type="expression" dxfId="183" priority="181">
      <formula>MOD(ROW(),2)=0</formula>
    </cfRule>
    <cfRule type="expression" dxfId="182" priority="182">
      <formula>MOD(ROW(),2)=1</formula>
    </cfRule>
  </conditionalFormatting>
  <conditionalFormatting sqref="S47:AA47">
    <cfRule type="expression" dxfId="181" priority="179">
      <formula>MOD(ROW(),2)=0</formula>
    </cfRule>
    <cfRule type="expression" dxfId="180" priority="180">
      <formula>MOD(ROW(),2)=1</formula>
    </cfRule>
  </conditionalFormatting>
  <conditionalFormatting sqref="AB47:AW47">
    <cfRule type="expression" dxfId="179" priority="177">
      <formula>MOD(ROW(),2)=0</formula>
    </cfRule>
    <cfRule type="expression" dxfId="178" priority="178">
      <formula>MOD(ROW(),2)=1</formula>
    </cfRule>
  </conditionalFormatting>
  <conditionalFormatting sqref="O47:Q47">
    <cfRule type="expression" dxfId="177" priority="173">
      <formula>MOD(ROW(),2)=0</formula>
    </cfRule>
    <cfRule type="expression" dxfId="176" priority="174">
      <formula>MOD(ROW(),2)=1</formula>
    </cfRule>
  </conditionalFormatting>
  <conditionalFormatting sqref="D47:N47">
    <cfRule type="expression" dxfId="175" priority="175">
      <formula>MOD(ROW(),2)=0</formula>
    </cfRule>
    <cfRule type="expression" dxfId="174" priority="176">
      <formula>MOD(ROW(),2)=1</formula>
    </cfRule>
  </conditionalFormatting>
  <conditionalFormatting sqref="C47">
    <cfRule type="expression" dxfId="173" priority="171">
      <formula>MOD(ROW(),2)=0</formula>
    </cfRule>
    <cfRule type="expression" dxfId="172" priority="172">
      <formula>MOD(ROW(),2)=1</formula>
    </cfRule>
  </conditionalFormatting>
  <conditionalFormatting sqref="B48">
    <cfRule type="expression" dxfId="171" priority="169">
      <formula>MOD(ROW(),2)=0</formula>
    </cfRule>
    <cfRule type="expression" dxfId="170" priority="170">
      <formula>MOD(ROW(),2)=1</formula>
    </cfRule>
  </conditionalFormatting>
  <conditionalFormatting sqref="S48:AA48">
    <cfRule type="expression" dxfId="169" priority="167">
      <formula>MOD(ROW(),2)=0</formula>
    </cfRule>
    <cfRule type="expression" dxfId="168" priority="168">
      <formula>MOD(ROW(),2)=1</formula>
    </cfRule>
  </conditionalFormatting>
  <conditionalFormatting sqref="AB48:AW48">
    <cfRule type="expression" dxfId="167" priority="165">
      <formula>MOD(ROW(),2)=0</formula>
    </cfRule>
    <cfRule type="expression" dxfId="166" priority="166">
      <formula>MOD(ROW(),2)=1</formula>
    </cfRule>
  </conditionalFormatting>
  <conditionalFormatting sqref="O48:Q48">
    <cfRule type="expression" dxfId="165" priority="161">
      <formula>MOD(ROW(),2)=0</formula>
    </cfRule>
    <cfRule type="expression" dxfId="164" priority="162">
      <formula>MOD(ROW(),2)=1</formula>
    </cfRule>
  </conditionalFormatting>
  <conditionalFormatting sqref="D48:N48">
    <cfRule type="expression" dxfId="163" priority="163">
      <formula>MOD(ROW(),2)=0</formula>
    </cfRule>
    <cfRule type="expression" dxfId="162" priority="164">
      <formula>MOD(ROW(),2)=1</formula>
    </cfRule>
  </conditionalFormatting>
  <conditionalFormatting sqref="C48">
    <cfRule type="expression" dxfId="161" priority="159">
      <formula>MOD(ROW(),2)=0</formula>
    </cfRule>
    <cfRule type="expression" dxfId="160" priority="160">
      <formula>MOD(ROW(),2)=1</formula>
    </cfRule>
  </conditionalFormatting>
  <conditionalFormatting sqref="B49">
    <cfRule type="expression" dxfId="159" priority="157">
      <formula>MOD(ROW(),2)=0</formula>
    </cfRule>
    <cfRule type="expression" dxfId="158" priority="158">
      <formula>MOD(ROW(),2)=1</formula>
    </cfRule>
  </conditionalFormatting>
  <conditionalFormatting sqref="S49:AA49">
    <cfRule type="expression" dxfId="157" priority="155">
      <formula>MOD(ROW(),2)=0</formula>
    </cfRule>
    <cfRule type="expression" dxfId="156" priority="156">
      <formula>MOD(ROW(),2)=1</formula>
    </cfRule>
  </conditionalFormatting>
  <conditionalFormatting sqref="AB49:AW49">
    <cfRule type="expression" dxfId="155" priority="153">
      <formula>MOD(ROW(),2)=0</formula>
    </cfRule>
    <cfRule type="expression" dxfId="154" priority="154">
      <formula>MOD(ROW(),2)=1</formula>
    </cfRule>
  </conditionalFormatting>
  <conditionalFormatting sqref="O49:Q49">
    <cfRule type="expression" dxfId="153" priority="149">
      <formula>MOD(ROW(),2)=0</formula>
    </cfRule>
    <cfRule type="expression" dxfId="152" priority="150">
      <formula>MOD(ROW(),2)=1</formula>
    </cfRule>
  </conditionalFormatting>
  <conditionalFormatting sqref="D49:N49">
    <cfRule type="expression" dxfId="151" priority="151">
      <formula>MOD(ROW(),2)=0</formula>
    </cfRule>
    <cfRule type="expression" dxfId="150" priority="152">
      <formula>MOD(ROW(),2)=1</formula>
    </cfRule>
  </conditionalFormatting>
  <conditionalFormatting sqref="C49">
    <cfRule type="expression" dxfId="149" priority="147">
      <formula>MOD(ROW(),2)=0</formula>
    </cfRule>
    <cfRule type="expression" dxfId="148" priority="148">
      <formula>MOD(ROW(),2)=1</formula>
    </cfRule>
  </conditionalFormatting>
  <conditionalFormatting sqref="B50">
    <cfRule type="expression" dxfId="147" priority="145">
      <formula>MOD(ROW(),2)=0</formula>
    </cfRule>
    <cfRule type="expression" dxfId="146" priority="146">
      <formula>MOD(ROW(),2)=1</formula>
    </cfRule>
  </conditionalFormatting>
  <conditionalFormatting sqref="S50:AA50">
    <cfRule type="expression" dxfId="145" priority="143">
      <formula>MOD(ROW(),2)=0</formula>
    </cfRule>
    <cfRule type="expression" dxfId="144" priority="144">
      <formula>MOD(ROW(),2)=1</formula>
    </cfRule>
  </conditionalFormatting>
  <conditionalFormatting sqref="AB50:AW50">
    <cfRule type="expression" dxfId="143" priority="141">
      <formula>MOD(ROW(),2)=0</formula>
    </cfRule>
    <cfRule type="expression" dxfId="142" priority="142">
      <formula>MOD(ROW(),2)=1</formula>
    </cfRule>
  </conditionalFormatting>
  <conditionalFormatting sqref="O50:Q50">
    <cfRule type="expression" dxfId="141" priority="137">
      <formula>MOD(ROW(),2)=0</formula>
    </cfRule>
    <cfRule type="expression" dxfId="140" priority="138">
      <formula>MOD(ROW(),2)=1</formula>
    </cfRule>
  </conditionalFormatting>
  <conditionalFormatting sqref="D50:N50">
    <cfRule type="expression" dxfId="139" priority="139">
      <formula>MOD(ROW(),2)=0</formula>
    </cfRule>
    <cfRule type="expression" dxfId="138" priority="140">
      <formula>MOD(ROW(),2)=1</formula>
    </cfRule>
  </conditionalFormatting>
  <conditionalFormatting sqref="C50">
    <cfRule type="expression" dxfId="137" priority="135">
      <formula>MOD(ROW(),2)=0</formula>
    </cfRule>
    <cfRule type="expression" dxfId="136" priority="136">
      <formula>MOD(ROW(),2)=1</formula>
    </cfRule>
  </conditionalFormatting>
  <conditionalFormatting sqref="B51">
    <cfRule type="expression" dxfId="135" priority="133">
      <formula>MOD(ROW(),2)=0</formula>
    </cfRule>
    <cfRule type="expression" dxfId="134" priority="134">
      <formula>MOD(ROW(),2)=1</formula>
    </cfRule>
  </conditionalFormatting>
  <conditionalFormatting sqref="S51:AA51">
    <cfRule type="expression" dxfId="133" priority="131">
      <formula>MOD(ROW(),2)=0</formula>
    </cfRule>
    <cfRule type="expression" dxfId="132" priority="132">
      <formula>MOD(ROW(),2)=1</formula>
    </cfRule>
  </conditionalFormatting>
  <conditionalFormatting sqref="AB51:AW51">
    <cfRule type="expression" dxfId="131" priority="129">
      <formula>MOD(ROW(),2)=0</formula>
    </cfRule>
    <cfRule type="expression" dxfId="130" priority="130">
      <formula>MOD(ROW(),2)=1</formula>
    </cfRule>
  </conditionalFormatting>
  <conditionalFormatting sqref="O51:Q51">
    <cfRule type="expression" dxfId="129" priority="125">
      <formula>MOD(ROW(),2)=0</formula>
    </cfRule>
    <cfRule type="expression" dxfId="128" priority="126">
      <formula>MOD(ROW(),2)=1</formula>
    </cfRule>
  </conditionalFormatting>
  <conditionalFormatting sqref="D51:N51">
    <cfRule type="expression" dxfId="127" priority="127">
      <formula>MOD(ROW(),2)=0</formula>
    </cfRule>
    <cfRule type="expression" dxfId="126" priority="128">
      <formula>MOD(ROW(),2)=1</formula>
    </cfRule>
  </conditionalFormatting>
  <conditionalFormatting sqref="C51">
    <cfRule type="expression" dxfId="125" priority="123">
      <formula>MOD(ROW(),2)=0</formula>
    </cfRule>
    <cfRule type="expression" dxfId="124" priority="124">
      <formula>MOD(ROW(),2)=1</formula>
    </cfRule>
  </conditionalFormatting>
  <conditionalFormatting sqref="B52">
    <cfRule type="expression" dxfId="123" priority="121">
      <formula>MOD(ROW(),2)=0</formula>
    </cfRule>
    <cfRule type="expression" dxfId="122" priority="122">
      <formula>MOD(ROW(),2)=1</formula>
    </cfRule>
  </conditionalFormatting>
  <conditionalFormatting sqref="S52:AA52">
    <cfRule type="expression" dxfId="121" priority="119">
      <formula>MOD(ROW(),2)=0</formula>
    </cfRule>
    <cfRule type="expression" dxfId="120" priority="120">
      <formula>MOD(ROW(),2)=1</formula>
    </cfRule>
  </conditionalFormatting>
  <conditionalFormatting sqref="AB52:AW52">
    <cfRule type="expression" dxfId="119" priority="117">
      <formula>MOD(ROW(),2)=0</formula>
    </cfRule>
    <cfRule type="expression" dxfId="118" priority="118">
      <formula>MOD(ROW(),2)=1</formula>
    </cfRule>
  </conditionalFormatting>
  <conditionalFormatting sqref="O52:Q52">
    <cfRule type="expression" dxfId="117" priority="113">
      <formula>MOD(ROW(),2)=0</formula>
    </cfRule>
    <cfRule type="expression" dxfId="116" priority="114">
      <formula>MOD(ROW(),2)=1</formula>
    </cfRule>
  </conditionalFormatting>
  <conditionalFormatting sqref="D52:N52">
    <cfRule type="expression" dxfId="115" priority="115">
      <formula>MOD(ROW(),2)=0</formula>
    </cfRule>
    <cfRule type="expression" dxfId="114" priority="116">
      <formula>MOD(ROW(),2)=1</formula>
    </cfRule>
  </conditionalFormatting>
  <conditionalFormatting sqref="C52">
    <cfRule type="expression" dxfId="113" priority="111">
      <formula>MOD(ROW(),2)=0</formula>
    </cfRule>
    <cfRule type="expression" dxfId="112" priority="112">
      <formula>MOD(ROW(),2)=1</formula>
    </cfRule>
  </conditionalFormatting>
  <conditionalFormatting sqref="B53">
    <cfRule type="expression" dxfId="111" priority="109">
      <formula>MOD(ROW(),2)=0</formula>
    </cfRule>
    <cfRule type="expression" dxfId="110" priority="110">
      <formula>MOD(ROW(),2)=1</formula>
    </cfRule>
  </conditionalFormatting>
  <conditionalFormatting sqref="S53:AA53">
    <cfRule type="expression" dxfId="109" priority="107">
      <formula>MOD(ROW(),2)=0</formula>
    </cfRule>
    <cfRule type="expression" dxfId="108" priority="108">
      <formula>MOD(ROW(),2)=1</formula>
    </cfRule>
  </conditionalFormatting>
  <conditionalFormatting sqref="AB53:AW53">
    <cfRule type="expression" dxfId="107" priority="105">
      <formula>MOD(ROW(),2)=0</formula>
    </cfRule>
    <cfRule type="expression" dxfId="106" priority="106">
      <formula>MOD(ROW(),2)=1</formula>
    </cfRule>
  </conditionalFormatting>
  <conditionalFormatting sqref="O53:Q53">
    <cfRule type="expression" dxfId="105" priority="101">
      <formula>MOD(ROW(),2)=0</formula>
    </cfRule>
    <cfRule type="expression" dxfId="104" priority="102">
      <formula>MOD(ROW(),2)=1</formula>
    </cfRule>
  </conditionalFormatting>
  <conditionalFormatting sqref="D53:N53">
    <cfRule type="expression" dxfId="103" priority="103">
      <formula>MOD(ROW(),2)=0</formula>
    </cfRule>
    <cfRule type="expression" dxfId="102" priority="104">
      <formula>MOD(ROW(),2)=1</formula>
    </cfRule>
  </conditionalFormatting>
  <conditionalFormatting sqref="C53">
    <cfRule type="expression" dxfId="101" priority="99">
      <formula>MOD(ROW(),2)=0</formula>
    </cfRule>
    <cfRule type="expression" dxfId="100" priority="100">
      <formula>MOD(ROW(),2)=1</formula>
    </cfRule>
  </conditionalFormatting>
  <conditionalFormatting sqref="B54">
    <cfRule type="expression" dxfId="99" priority="97">
      <formula>MOD(ROW(),2)=0</formula>
    </cfRule>
    <cfRule type="expression" dxfId="98" priority="98">
      <formula>MOD(ROW(),2)=1</formula>
    </cfRule>
  </conditionalFormatting>
  <conditionalFormatting sqref="S54:AA54">
    <cfRule type="expression" dxfId="97" priority="95">
      <formula>MOD(ROW(),2)=0</formula>
    </cfRule>
    <cfRule type="expression" dxfId="96" priority="96">
      <formula>MOD(ROW(),2)=1</formula>
    </cfRule>
  </conditionalFormatting>
  <conditionalFormatting sqref="AB54:AW54">
    <cfRule type="expression" dxfId="95" priority="93">
      <formula>MOD(ROW(),2)=0</formula>
    </cfRule>
    <cfRule type="expression" dxfId="94" priority="94">
      <formula>MOD(ROW(),2)=1</formula>
    </cfRule>
  </conditionalFormatting>
  <conditionalFormatting sqref="O54:Q54">
    <cfRule type="expression" dxfId="93" priority="89">
      <formula>MOD(ROW(),2)=0</formula>
    </cfRule>
    <cfRule type="expression" dxfId="92" priority="90">
      <formula>MOD(ROW(),2)=1</formula>
    </cfRule>
  </conditionalFormatting>
  <conditionalFormatting sqref="D54:N54">
    <cfRule type="expression" dxfId="91" priority="91">
      <formula>MOD(ROW(),2)=0</formula>
    </cfRule>
    <cfRule type="expression" dxfId="90" priority="92">
      <formula>MOD(ROW(),2)=1</formula>
    </cfRule>
  </conditionalFormatting>
  <conditionalFormatting sqref="C54">
    <cfRule type="expression" dxfId="89" priority="87">
      <formula>MOD(ROW(),2)=0</formula>
    </cfRule>
    <cfRule type="expression" dxfId="88" priority="88">
      <formula>MOD(ROW(),2)=1</formula>
    </cfRule>
  </conditionalFormatting>
  <conditionalFormatting sqref="B55">
    <cfRule type="expression" dxfId="87" priority="85">
      <formula>MOD(ROW(),2)=0</formula>
    </cfRule>
    <cfRule type="expression" dxfId="86" priority="86">
      <formula>MOD(ROW(),2)=1</formula>
    </cfRule>
  </conditionalFormatting>
  <conditionalFormatting sqref="S55:AA55">
    <cfRule type="expression" dxfId="85" priority="83">
      <formula>MOD(ROW(),2)=0</formula>
    </cfRule>
    <cfRule type="expression" dxfId="84" priority="84">
      <formula>MOD(ROW(),2)=1</formula>
    </cfRule>
  </conditionalFormatting>
  <conditionalFormatting sqref="AB55:AW55">
    <cfRule type="expression" dxfId="83" priority="81">
      <formula>MOD(ROW(),2)=0</formula>
    </cfRule>
    <cfRule type="expression" dxfId="82" priority="82">
      <formula>MOD(ROW(),2)=1</formula>
    </cfRule>
  </conditionalFormatting>
  <conditionalFormatting sqref="O55:Q55">
    <cfRule type="expression" dxfId="81" priority="77">
      <formula>MOD(ROW(),2)=0</formula>
    </cfRule>
    <cfRule type="expression" dxfId="80" priority="78">
      <formula>MOD(ROW(),2)=1</formula>
    </cfRule>
  </conditionalFormatting>
  <conditionalFormatting sqref="D55:N55">
    <cfRule type="expression" dxfId="79" priority="79">
      <formula>MOD(ROW(),2)=0</formula>
    </cfRule>
    <cfRule type="expression" dxfId="78" priority="80">
      <formula>MOD(ROW(),2)=1</formula>
    </cfRule>
  </conditionalFormatting>
  <conditionalFormatting sqref="C55">
    <cfRule type="expression" dxfId="77" priority="75">
      <formula>MOD(ROW(),2)=0</formula>
    </cfRule>
    <cfRule type="expression" dxfId="76" priority="76">
      <formula>MOD(ROW(),2)=1</formula>
    </cfRule>
  </conditionalFormatting>
  <conditionalFormatting sqref="B56">
    <cfRule type="expression" dxfId="75" priority="73">
      <formula>MOD(ROW(),2)=0</formula>
    </cfRule>
    <cfRule type="expression" dxfId="74" priority="74">
      <formula>MOD(ROW(),2)=1</formula>
    </cfRule>
  </conditionalFormatting>
  <conditionalFormatting sqref="S56:AA56">
    <cfRule type="expression" dxfId="73" priority="71">
      <formula>MOD(ROW(),2)=0</formula>
    </cfRule>
    <cfRule type="expression" dxfId="72" priority="72">
      <formula>MOD(ROW(),2)=1</formula>
    </cfRule>
  </conditionalFormatting>
  <conditionalFormatting sqref="AB56:AW56">
    <cfRule type="expression" dxfId="71" priority="69">
      <formula>MOD(ROW(),2)=0</formula>
    </cfRule>
    <cfRule type="expression" dxfId="70" priority="70">
      <formula>MOD(ROW(),2)=1</formula>
    </cfRule>
  </conditionalFormatting>
  <conditionalFormatting sqref="O56:Q56">
    <cfRule type="expression" dxfId="69" priority="65">
      <formula>MOD(ROW(),2)=0</formula>
    </cfRule>
    <cfRule type="expression" dxfId="68" priority="66">
      <formula>MOD(ROW(),2)=1</formula>
    </cfRule>
  </conditionalFormatting>
  <conditionalFormatting sqref="D56:N56">
    <cfRule type="expression" dxfId="67" priority="67">
      <formula>MOD(ROW(),2)=0</formula>
    </cfRule>
    <cfRule type="expression" dxfId="66" priority="68">
      <formula>MOD(ROW(),2)=1</formula>
    </cfRule>
  </conditionalFormatting>
  <conditionalFormatting sqref="C56">
    <cfRule type="expression" dxfId="65" priority="63">
      <formula>MOD(ROW(),2)=0</formula>
    </cfRule>
    <cfRule type="expression" dxfId="64" priority="64">
      <formula>MOD(ROW(),2)=1</formula>
    </cfRule>
  </conditionalFormatting>
  <conditionalFormatting sqref="B57">
    <cfRule type="expression" dxfId="63" priority="61">
      <formula>MOD(ROW(),2)=0</formula>
    </cfRule>
    <cfRule type="expression" dxfId="62" priority="62">
      <formula>MOD(ROW(),2)=1</formula>
    </cfRule>
  </conditionalFormatting>
  <conditionalFormatting sqref="S57:AA57">
    <cfRule type="expression" dxfId="61" priority="59">
      <formula>MOD(ROW(),2)=0</formula>
    </cfRule>
    <cfRule type="expression" dxfId="60" priority="60">
      <formula>MOD(ROW(),2)=1</formula>
    </cfRule>
  </conditionalFormatting>
  <conditionalFormatting sqref="AB57:AW57">
    <cfRule type="expression" dxfId="59" priority="57">
      <formula>MOD(ROW(),2)=0</formula>
    </cfRule>
    <cfRule type="expression" dxfId="58" priority="58">
      <formula>MOD(ROW(),2)=1</formula>
    </cfRule>
  </conditionalFormatting>
  <conditionalFormatting sqref="O57:Q57">
    <cfRule type="expression" dxfId="57" priority="53">
      <formula>MOD(ROW(),2)=0</formula>
    </cfRule>
    <cfRule type="expression" dxfId="56" priority="54">
      <formula>MOD(ROW(),2)=1</formula>
    </cfRule>
  </conditionalFormatting>
  <conditionalFormatting sqref="D57:N57">
    <cfRule type="expression" dxfId="55" priority="55">
      <formula>MOD(ROW(),2)=0</formula>
    </cfRule>
    <cfRule type="expression" dxfId="54" priority="56">
      <formula>MOD(ROW(),2)=1</formula>
    </cfRule>
  </conditionalFormatting>
  <conditionalFormatting sqref="C57">
    <cfRule type="expression" dxfId="53" priority="51">
      <formula>MOD(ROW(),2)=0</formula>
    </cfRule>
    <cfRule type="expression" dxfId="52" priority="52">
      <formula>MOD(ROW(),2)=1</formula>
    </cfRule>
  </conditionalFormatting>
  <conditionalFormatting sqref="B58">
    <cfRule type="expression" dxfId="51" priority="49">
      <formula>MOD(ROW(),2)=0</formula>
    </cfRule>
    <cfRule type="expression" dxfId="50" priority="50">
      <formula>MOD(ROW(),2)=1</formula>
    </cfRule>
  </conditionalFormatting>
  <conditionalFormatting sqref="S58:AA58">
    <cfRule type="expression" dxfId="49" priority="47">
      <formula>MOD(ROW(),2)=0</formula>
    </cfRule>
    <cfRule type="expression" dxfId="48" priority="48">
      <formula>MOD(ROW(),2)=1</formula>
    </cfRule>
  </conditionalFormatting>
  <conditionalFormatting sqref="AB58:AW58">
    <cfRule type="expression" dxfId="47" priority="45">
      <formula>MOD(ROW(),2)=0</formula>
    </cfRule>
    <cfRule type="expression" dxfId="46" priority="46">
      <formula>MOD(ROW(),2)=1</formula>
    </cfRule>
  </conditionalFormatting>
  <conditionalFormatting sqref="O58:Q58">
    <cfRule type="expression" dxfId="45" priority="41">
      <formula>MOD(ROW(),2)=0</formula>
    </cfRule>
    <cfRule type="expression" dxfId="44" priority="42">
      <formula>MOD(ROW(),2)=1</formula>
    </cfRule>
  </conditionalFormatting>
  <conditionalFormatting sqref="D58:N58">
    <cfRule type="expression" dxfId="43" priority="43">
      <formula>MOD(ROW(),2)=0</formula>
    </cfRule>
    <cfRule type="expression" dxfId="42" priority="44">
      <formula>MOD(ROW(),2)=1</formula>
    </cfRule>
  </conditionalFormatting>
  <conditionalFormatting sqref="C58">
    <cfRule type="expression" dxfId="41" priority="39">
      <formula>MOD(ROW(),2)=0</formula>
    </cfRule>
    <cfRule type="expression" dxfId="40" priority="40">
      <formula>MOD(ROW(),2)=1</formula>
    </cfRule>
  </conditionalFormatting>
  <conditionalFormatting sqref="B59">
    <cfRule type="expression" dxfId="39" priority="37">
      <formula>MOD(ROW(),2)=0</formula>
    </cfRule>
    <cfRule type="expression" dxfId="38" priority="38">
      <formula>MOD(ROW(),2)=1</formula>
    </cfRule>
  </conditionalFormatting>
  <conditionalFormatting sqref="S59:AA59">
    <cfRule type="expression" dxfId="37" priority="35">
      <formula>MOD(ROW(),2)=0</formula>
    </cfRule>
    <cfRule type="expression" dxfId="36" priority="36">
      <formula>MOD(ROW(),2)=1</formula>
    </cfRule>
  </conditionalFormatting>
  <conditionalFormatting sqref="AB59:AW59">
    <cfRule type="expression" dxfId="35" priority="33">
      <formula>MOD(ROW(),2)=0</formula>
    </cfRule>
    <cfRule type="expression" dxfId="34" priority="34">
      <formula>MOD(ROW(),2)=1</formula>
    </cfRule>
  </conditionalFormatting>
  <conditionalFormatting sqref="O59:Q59">
    <cfRule type="expression" dxfId="33" priority="29">
      <formula>MOD(ROW(),2)=0</formula>
    </cfRule>
    <cfRule type="expression" dxfId="32" priority="30">
      <formula>MOD(ROW(),2)=1</formula>
    </cfRule>
  </conditionalFormatting>
  <conditionalFormatting sqref="D59:N59">
    <cfRule type="expression" dxfId="31" priority="31">
      <formula>MOD(ROW(),2)=0</formula>
    </cfRule>
    <cfRule type="expression" dxfId="30" priority="32">
      <formula>MOD(ROW(),2)=1</formula>
    </cfRule>
  </conditionalFormatting>
  <conditionalFormatting sqref="C59">
    <cfRule type="expression" dxfId="29" priority="27">
      <formula>MOD(ROW(),2)=0</formula>
    </cfRule>
    <cfRule type="expression" dxfId="28" priority="28">
      <formula>MOD(ROW(),2)=1</formula>
    </cfRule>
  </conditionalFormatting>
  <conditionalFormatting sqref="B60">
    <cfRule type="expression" dxfId="27" priority="25">
      <formula>MOD(ROW(),2)=0</formula>
    </cfRule>
    <cfRule type="expression" dxfId="26" priority="26">
      <formula>MOD(ROW(),2)=1</formula>
    </cfRule>
  </conditionalFormatting>
  <conditionalFormatting sqref="S60:AA60">
    <cfRule type="expression" dxfId="25" priority="23">
      <formula>MOD(ROW(),2)=0</formula>
    </cfRule>
    <cfRule type="expression" dxfId="24" priority="24">
      <formula>MOD(ROW(),2)=1</formula>
    </cfRule>
  </conditionalFormatting>
  <conditionalFormatting sqref="AB60:AW60">
    <cfRule type="expression" dxfId="23" priority="21">
      <formula>MOD(ROW(),2)=0</formula>
    </cfRule>
    <cfRule type="expression" dxfId="22" priority="22">
      <formula>MOD(ROW(),2)=1</formula>
    </cfRule>
  </conditionalFormatting>
  <conditionalFormatting sqref="O60:Q60">
    <cfRule type="expression" dxfId="21" priority="17">
      <formula>MOD(ROW(),2)=0</formula>
    </cfRule>
    <cfRule type="expression" dxfId="20" priority="18">
      <formula>MOD(ROW(),2)=1</formula>
    </cfRule>
  </conditionalFormatting>
  <conditionalFormatting sqref="D60:M60">
    <cfRule type="expression" dxfId="19" priority="19">
      <formula>MOD(ROW(),2)=0</formula>
    </cfRule>
    <cfRule type="expression" dxfId="18" priority="20">
      <formula>MOD(ROW(),2)=1</formula>
    </cfRule>
  </conditionalFormatting>
  <conditionalFormatting sqref="C60">
    <cfRule type="expression" dxfId="17" priority="15">
      <formula>MOD(ROW(),2)=0</formula>
    </cfRule>
    <cfRule type="expression" dxfId="16" priority="16">
      <formula>MOD(ROW(),2)=1</formula>
    </cfRule>
  </conditionalFormatting>
  <conditionalFormatting sqref="B61">
    <cfRule type="expression" dxfId="15" priority="13">
      <formula>MOD(ROW(),2)=0</formula>
    </cfRule>
    <cfRule type="expression" dxfId="14" priority="14">
      <formula>MOD(ROW(),2)=1</formula>
    </cfRule>
  </conditionalFormatting>
  <conditionalFormatting sqref="S61:AA61">
    <cfRule type="expression" dxfId="13" priority="11">
      <formula>MOD(ROW(),2)=0</formula>
    </cfRule>
    <cfRule type="expression" dxfId="12" priority="12">
      <formula>MOD(ROW(),2)=1</formula>
    </cfRule>
  </conditionalFormatting>
  <conditionalFormatting sqref="AB61:AW61">
    <cfRule type="expression" dxfId="11" priority="9">
      <formula>MOD(ROW(),2)=0</formula>
    </cfRule>
    <cfRule type="expression" dxfId="10" priority="10">
      <formula>MOD(ROW(),2)=1</formula>
    </cfRule>
  </conditionalFormatting>
  <conditionalFormatting sqref="O61:Q61">
    <cfRule type="expression" dxfId="9" priority="5">
      <formula>MOD(ROW(),2)=0</formula>
    </cfRule>
    <cfRule type="expression" dxfId="8" priority="6">
      <formula>MOD(ROW(),2)=1</formula>
    </cfRule>
  </conditionalFormatting>
  <conditionalFormatting sqref="D61:M61">
    <cfRule type="expression" dxfId="7" priority="7">
      <formula>MOD(ROW(),2)=0</formula>
    </cfRule>
    <cfRule type="expression" dxfId="6" priority="8">
      <formula>MOD(ROW(),2)=1</formula>
    </cfRule>
  </conditionalFormatting>
  <conditionalFormatting sqref="C61">
    <cfRule type="expression" dxfId="5" priority="3">
      <formula>MOD(ROW(),2)=0</formula>
    </cfRule>
    <cfRule type="expression" dxfId="4" priority="4">
      <formula>MOD(ROW(),2)=1</formula>
    </cfRule>
  </conditionalFormatting>
  <conditionalFormatting sqref="N60:N61">
    <cfRule type="expression" dxfId="3" priority="1">
      <formula>MOD(ROW(),2)=0</formula>
    </cfRule>
    <cfRule type="expression" dxfId="2" priority="2">
      <formula>MOD(ROW(),2)=1</formula>
    </cfRule>
  </conditionalFormatting>
  <dataValidations count="1">
    <dataValidation type="list" allowBlank="1" showInputMessage="1" showErrorMessage="1" sqref="N8:N50 N6" xr:uid="{00000000-0002-0000-0000-000000000000}">
      <formula1>"Spread &amp; Vol, Mkt Price &amp; Vol,Mkt Price &amp; Spread"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Pricing">
    <outlinePr summaryBelow="0"/>
  </sheetPr>
  <dimension ref="A1:X161"/>
  <sheetViews>
    <sheetView showGridLines="0" showRowColHeaders="0" zoomScaleNormal="100" workbookViewId="0">
      <pane ySplit="17" topLeftCell="A18" activePane="bottomLeft" state="frozen"/>
      <selection pane="bottomLeft" activeCell="S25" sqref="S25"/>
    </sheetView>
  </sheetViews>
  <sheetFormatPr defaultColWidth="0" defaultRowHeight="15" x14ac:dyDescent="0.25"/>
  <cols>
    <col min="1" max="1" width="1.83203125" customWidth="1"/>
    <col min="2" max="2" width="18.1640625" style="5" customWidth="1"/>
    <col min="3" max="3" width="41.33203125" style="5" hidden="1" customWidth="1"/>
    <col min="4" max="4" width="23" style="5" customWidth="1"/>
    <col min="5" max="5" width="1.83203125" style="5" customWidth="1"/>
    <col min="6" max="6" width="18.1640625" style="5" customWidth="1"/>
    <col min="7" max="7" width="44" style="5" hidden="1" customWidth="1"/>
    <col min="8" max="8" width="23" style="5" customWidth="1"/>
    <col min="9" max="9" width="1.83203125" style="5" customWidth="1"/>
    <col min="10" max="10" width="18.1640625" style="5" customWidth="1"/>
    <col min="11" max="11" width="46.5" style="5" hidden="1" customWidth="1"/>
    <col min="12" max="12" width="23" style="5" customWidth="1"/>
    <col min="13" max="13" width="1.83203125" style="5" customWidth="1"/>
    <col min="14" max="14" width="18.1640625" style="5" customWidth="1"/>
    <col min="15" max="15" width="33.83203125" style="5" hidden="1" customWidth="1"/>
    <col min="16" max="16" width="23" style="5" customWidth="1"/>
    <col min="17" max="17" width="3.33203125" style="5" customWidth="1"/>
    <col min="18" max="24" width="9.33203125" style="5" customWidth="1"/>
    <col min="25" max="16384" width="9.33203125" style="5" hidden="1"/>
  </cols>
  <sheetData>
    <row r="1" spans="2:18" s="1" customFormat="1" ht="5.0999999999999996" customHeight="1" x14ac:dyDescent="0.2">
      <c r="B1" s="1">
        <f>MATCH($D$7,'Portfolio Analysis'!$C:$C,0)</f>
        <v>8</v>
      </c>
      <c r="D1" s="1" t="str">
        <f>IF(ISERR(FIND(" ",INDEX('Portfolio Analysis'!$B:$B,$B$1))),INDEX('Portfolio Analysis'!$B:$B,$B$1)&amp;" Corp",INDEX('Portfolio Analysis'!$B:$B,$B$1))</f>
        <v>US009066AB74 CORP</v>
      </c>
    </row>
    <row r="2" spans="2:18" customFormat="1" ht="15" customHeight="1" x14ac:dyDescent="0.2"/>
    <row r="3" spans="2:18" customFormat="1" ht="15" customHeight="1" x14ac:dyDescent="0.2"/>
    <row r="4" spans="2:18" customFormat="1" ht="15" customHeight="1" x14ac:dyDescent="0.2"/>
    <row r="5" spans="2:18" customFormat="1" ht="5.0999999999999996" customHeight="1" x14ac:dyDescent="0.2"/>
    <row r="6" spans="2:18" customFormat="1" ht="15" customHeight="1" x14ac:dyDescent="0.2"/>
    <row r="7" spans="2:18" ht="15" customHeight="1" x14ac:dyDescent="0.25">
      <c r="B7" s="43" t="s">
        <v>90</v>
      </c>
      <c r="C7" s="44"/>
      <c r="D7" s="175" t="s">
        <v>326</v>
      </c>
      <c r="E7" s="175"/>
      <c r="F7" s="176"/>
      <c r="H7" s="56" t="s">
        <v>283</v>
      </c>
    </row>
    <row r="9" spans="2:18" hidden="1" x14ac:dyDescent="0.25">
      <c r="B9" s="6" t="s">
        <v>105</v>
      </c>
      <c r="C9" s="7"/>
      <c r="D9" s="8" t="s">
        <v>12</v>
      </c>
      <c r="F9" s="8" t="s">
        <v>17</v>
      </c>
      <c r="G9" s="7"/>
      <c r="H9" s="8" t="s">
        <v>16</v>
      </c>
      <c r="J9" s="8" t="s">
        <v>13</v>
      </c>
      <c r="L9" s="8" t="s">
        <v>288</v>
      </c>
      <c r="N9" s="8" t="s">
        <v>14</v>
      </c>
      <c r="P9" s="8" t="s">
        <v>15</v>
      </c>
      <c r="R9" s="8" t="s">
        <v>18</v>
      </c>
    </row>
    <row r="10" spans="2:18" hidden="1" x14ac:dyDescent="0.25">
      <c r="B10" s="9" t="s">
        <v>106</v>
      </c>
      <c r="C10" s="10"/>
      <c r="D10" s="11" t="str">
        <f>IF(D$13="",TEXT(D$12,"YYYYMMDD"),TEXT(D$13,"YYYYMMDD"))</f>
        <v>20251015</v>
      </c>
      <c r="F10" s="12">
        <f>IF(F$13="",F$12,F$13)</f>
        <v>98.140000000000015</v>
      </c>
      <c r="G10" s="12"/>
      <c r="H10" s="12">
        <f>IF(H$13="",H$12,H$13)</f>
        <v>400</v>
      </c>
      <c r="J10" s="12">
        <f>IF(J$13="",J$12,J$13)</f>
        <v>34.436729608872021</v>
      </c>
      <c r="K10" s="12">
        <f t="shared" ref="K10:L10" si="0">IF(K$13="",K$12,K$13)</f>
        <v>0</v>
      </c>
      <c r="L10" s="12" t="str">
        <f t="shared" si="0"/>
        <v>-</v>
      </c>
      <c r="N10" s="12">
        <f>IF(N$13="",N$12,N$13)</f>
        <v>124.90000152587891</v>
      </c>
      <c r="P10" s="12">
        <f>IF(P$13="",P$12,P$13)</f>
        <v>0</v>
      </c>
      <c r="R10" s="12">
        <f>IF(R$13="",R$12,R$13)</f>
        <v>0</v>
      </c>
    </row>
    <row r="11" spans="2:18" ht="15" customHeight="1" x14ac:dyDescent="0.25">
      <c r="D11" s="13" t="s">
        <v>10</v>
      </c>
      <c r="F11" s="13" t="s">
        <v>94</v>
      </c>
      <c r="G11" s="13"/>
      <c r="H11" s="13" t="s">
        <v>9</v>
      </c>
      <c r="J11" s="13" t="s">
        <v>95</v>
      </c>
      <c r="L11" s="13" t="s">
        <v>289</v>
      </c>
      <c r="N11" s="13" t="s">
        <v>11</v>
      </c>
      <c r="P11" s="13" t="s">
        <v>21</v>
      </c>
      <c r="R11" s="13" t="s">
        <v>23</v>
      </c>
    </row>
    <row r="12" spans="2:18" ht="15" customHeight="1" x14ac:dyDescent="0.25">
      <c r="B12" s="23" t="s">
        <v>93</v>
      </c>
      <c r="C12" s="32"/>
      <c r="D12" s="33" t="str">
        <f>_xll.BDP($D$1,D$9,"ACTIVATE_MULTICALC_MODE=Y")</f>
        <v>15/10/2025</v>
      </c>
      <c r="F12" s="36">
        <f>_xll.BDP($D$1,F$9,"ACTIVATE_MULTICALC_MODE=Y")</f>
        <v>98.140000000000015</v>
      </c>
      <c r="G12" s="37"/>
      <c r="H12" s="38">
        <f>_xll.BDP($D$1,H$9,"ACTIVATE_MULTICALC_MODE=Y")</f>
        <v>400</v>
      </c>
      <c r="J12" s="120">
        <f>_xll.BDP($D$1,J$9,"ACTIVATE_MULTICALC_MODE=Y")</f>
        <v>34.436729608872021</v>
      </c>
      <c r="K12" s="121"/>
      <c r="L12" s="128" t="str">
        <f>_xll.BDP($D$1,L$9,"ACTIVATE_MULTICALC_MODE=Y","fill=-")</f>
        <v>-</v>
      </c>
      <c r="N12" s="120">
        <f>_xll.BDP($D$1,N$9,"ACTIVATE_MULTICALC_MODE=Y")</f>
        <v>124.90000152587891</v>
      </c>
      <c r="O12" s="127"/>
      <c r="P12" s="128">
        <f>_xll.BDP($D$1,P$9,"ACTIVATE_MULTICALC_MODE=Y")</f>
        <v>0</v>
      </c>
      <c r="R12" s="125">
        <f>_xll.BDP($D$1,R$9,"ACTIVATE_MULTICALC_MODE=Y")</f>
        <v>0</v>
      </c>
    </row>
    <row r="13" spans="2:18" ht="15" customHeight="1" x14ac:dyDescent="0.25">
      <c r="B13" s="27" t="s">
        <v>92</v>
      </c>
      <c r="C13" s="34"/>
      <c r="D13" s="35"/>
      <c r="F13" s="39"/>
      <c r="G13" s="40"/>
      <c r="H13" s="41"/>
      <c r="J13" s="122"/>
      <c r="K13" s="123"/>
      <c r="L13" s="124"/>
      <c r="N13" s="122"/>
      <c r="O13" s="129"/>
      <c r="P13" s="124"/>
      <c r="R13" s="126"/>
    </row>
    <row r="14" spans="2:18" ht="15" customHeight="1" x14ac:dyDescent="0.25"/>
    <row r="15" spans="2:18" ht="15" customHeight="1" x14ac:dyDescent="0.25"/>
    <row r="16" spans="2:18" ht="15" customHeight="1" x14ac:dyDescent="0.25"/>
    <row r="17" spans="2:16" ht="2.1" customHeight="1" x14ac:dyDescent="0.25"/>
    <row r="18" spans="2:16" ht="15" customHeight="1" x14ac:dyDescent="0.25">
      <c r="B18" s="166" t="s">
        <v>91</v>
      </c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8"/>
    </row>
    <row r="19" spans="2:16" ht="0.2" customHeight="1" x14ac:dyDescent="0.25">
      <c r="B19" s="102"/>
      <c r="P19" s="103"/>
    </row>
    <row r="20" spans="2:16" ht="15" customHeight="1" x14ac:dyDescent="0.25">
      <c r="B20" s="169" t="s">
        <v>96</v>
      </c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1"/>
    </row>
    <row r="21" spans="2:16" ht="3" customHeight="1" x14ac:dyDescent="0.25"/>
    <row r="22" spans="2:16" ht="15" customHeight="1" x14ac:dyDescent="0.25">
      <c r="B22" s="115" t="s">
        <v>5</v>
      </c>
      <c r="C22" s="116" t="s">
        <v>2</v>
      </c>
      <c r="D22" s="117">
        <f>_xll.BDP($D$1,C22,"ACTIVATE_MULTICALC_MODE=Y","Fill=NA",$D$9,$D$10,$F$9,$F$10,$H$9,$H$10,$J$9,$J$10,$L$9,$L$10,$N$9,$N$10,$P$9,$P$10,$R$9,$R$10)</f>
        <v>96.585350801969867</v>
      </c>
      <c r="E22" s="118"/>
      <c r="F22" s="115" t="s">
        <v>51</v>
      </c>
      <c r="G22" s="119" t="s">
        <v>58</v>
      </c>
      <c r="H22" s="117">
        <f>_xll.BDP($D$1,G22,$D$9,$D$10,$F$9,$F$10,$H$9,$H$10,$J$9,$J$10,$L$9,$L$10,$N$9,$N$10,$P$9,$P$10,$R$9,$R$10,"ACTIVATE_MULTICALC_MODE=Y","Fill=NA")</f>
        <v>96.835923933376165</v>
      </c>
      <c r="I22" s="118"/>
      <c r="J22" s="115" t="s">
        <v>100</v>
      </c>
      <c r="K22" s="119" t="s">
        <v>65</v>
      </c>
      <c r="L22" s="117">
        <f>_xll.BDP($D$1,K22,$D$9,$D$10,$F$9,$F$10,$H$9,$H$10,$J$9,$J$10,$L$9,$L$10,$N$9,$N$10,$P$9,$P$10,$R$9,$R$10,"ACTIVATE_MULTICALC_MODE=Y","Fill=NA")</f>
        <v>-0.40191122451005867</v>
      </c>
      <c r="M22" s="118"/>
      <c r="N22" s="115" t="s">
        <v>72</v>
      </c>
      <c r="O22" s="119" t="s">
        <v>75</v>
      </c>
      <c r="P22" s="117">
        <f>_xll.BDP($D$1,O22,$D$9,$D$10,$F$9,$F$10,$H$9,$H$10,$J$9,$J$10,$L$9,$L$10,$N$9,$N$10,$P$9,$P$10,$R$9,$R$10,"ACTIVATE_MULTICALC_MODE=Y","Fill=NA")</f>
        <v>4.5791320000000004</v>
      </c>
    </row>
    <row r="23" spans="2:16" ht="15" customHeight="1" x14ac:dyDescent="0.25">
      <c r="B23" s="24" t="s">
        <v>27</v>
      </c>
      <c r="C23" s="25" t="s">
        <v>47</v>
      </c>
      <c r="D23" s="26">
        <f>_xll.BDP($D$1,C23,$D$9,$D$10,$F$9,$F$10,$H$9,$H$10,$J$9,$J$10,$L$9,$L$10,$N$9,$N$10,$P$9,$P$10,$R$9,$R$10,"ACTIVATE_MULTICALC_MODE=Y","Fill=NA")</f>
        <v>-1.6096117942540276</v>
      </c>
      <c r="F23" s="24" t="s">
        <v>54</v>
      </c>
      <c r="G23" s="30" t="s">
        <v>59</v>
      </c>
      <c r="H23" s="26">
        <f>_xll.BDP($D$1,G23,$D$9,$D$10,$F$9,$F$10,$H$9,$H$10,$J$9,$J$10,$L$9,$L$10,$N$9,$N$10,$P$9,$P$10,$R$9,$R$10,"ACTIVATE_MULTICALC_MODE=Y","Fill=NA")</f>
        <v>-0.2505707752150329</v>
      </c>
      <c r="J23" s="24" t="s">
        <v>101</v>
      </c>
      <c r="K23" s="30" t="s">
        <v>67</v>
      </c>
      <c r="L23" s="26">
        <f>_xll.BDP($D$1,K23,$D$9,$D$10,$F$9,$F$10,$H$9,$H$10,$J$9,$J$10,$L$9,$L$10,$N$9,$N$10,$P$9,$P$10,$R$9,$R$10,"ACTIVATE_MULTICALC_MODE=Y","Fill=NA")</f>
        <v>-0.48197698760577623</v>
      </c>
      <c r="N23" s="24" t="s">
        <v>73</v>
      </c>
      <c r="O23" s="30" t="s">
        <v>76</v>
      </c>
      <c r="P23" s="26" t="str">
        <f>_xll.BDP($D$1,O23,$D$9,$D$10,$F$9,$F$10,$H$9,$H$10,$J$9,$J$10,$L$9,$L$10,$N$9,$N$10,$P$9,$P$10,$R$9,$R$10,"ACTIVATE_MULTICALC_MODE=Y","Fill=NA")</f>
        <v>NA</v>
      </c>
    </row>
    <row r="24" spans="2:16" ht="15" customHeight="1" x14ac:dyDescent="0.25">
      <c r="B24" s="24" t="s">
        <v>6</v>
      </c>
      <c r="C24" s="25" t="s">
        <v>3</v>
      </c>
      <c r="D24" s="26">
        <f>_xll.BDP($D$1,C24,$D$9,$D$10,$F$9,$F$10,$H$9,$H$10,$J$9,$J$10,$L$9,$L$10,$N$9,$N$10,$P$9,$P$10,$R$9,$R$10,"ACTIVATE_MULTICALC_MODE=Y","Fill=NA")</f>
        <v>64.261691587922797</v>
      </c>
      <c r="F24" s="24" t="s">
        <v>55</v>
      </c>
      <c r="G24" s="30" t="s">
        <v>53</v>
      </c>
      <c r="H24" s="26">
        <f>_xll.BDP($D$1,G24,$D$9,$D$10,$F$9,$F$10,$H$9,$H$10,$J$9,$J$10,$L$9,$L$10,$N$9,$N$10,$P$9,$P$10,$R$9,$R$10,"ACTIVATE_MULTICALC_MODE=Y","Fill=NA")</f>
        <v>43.271605528640436</v>
      </c>
      <c r="J24" s="24" t="s">
        <v>33</v>
      </c>
      <c r="K24" s="30" t="s">
        <v>42</v>
      </c>
      <c r="L24" s="26">
        <f>_xll.BDP($D$1,K24,$D$9,$D$10,$F$9,$F$10,$H$9,$H$10,$J$9,$J$10,$L$9,$L$10,$N$9,$N$10,$P$9,$P$10,$R$9,$R$10,"ACTIVATE_MULTICALC_MODE=Y","Fill=NA")</f>
        <v>0</v>
      </c>
      <c r="N24" s="24" t="s">
        <v>74</v>
      </c>
      <c r="O24" s="30" t="s">
        <v>77</v>
      </c>
      <c r="P24" s="26" t="str">
        <f>_xll.BDP($D$1,O24,$D$9,$D$10,$F$9,$F$10,$H$9,$H$10,$J$9,$J$10,$L$9,$L$10,$N$9,$N$10,$P$9,$P$10,$R$9,$R$10,"ACTIVATE_MULTICALC_MODE=Y","Fill=NA")</f>
        <v>NA</v>
      </c>
    </row>
    <row r="25" spans="2:16" ht="15" customHeight="1" x14ac:dyDescent="0.25">
      <c r="B25" s="24" t="s">
        <v>97</v>
      </c>
      <c r="C25" s="25" t="s">
        <v>4</v>
      </c>
      <c r="D25" s="26">
        <f>_xll.BDP($D$1,C25,$D$9,$D$10,$F$9,$F$10,$H$9,$H$10,$J$9,$J$10,$L$9,$L$10,$N$9,$N$10,$P$9,$P$10,$R$9,$R$10,"ACTIVATE_MULTICALC_MODE=Y","Fill=NA")</f>
        <v>95.863331949813755</v>
      </c>
      <c r="F25" s="24" t="s">
        <v>57</v>
      </c>
      <c r="G25" s="30" t="s">
        <v>286</v>
      </c>
      <c r="H25" s="26">
        <f>_xll.BDP($D$1,G25,$D$9,$D$10,$F$9,$F$10,$H$9,$H$10,$J$9,$J$10,$L$9,$L$10,$N$9,$N$10,$P$9,$P$10,$R$9,$R$10,"ACTIVATE_MULTICALC_MODE=Y","Fill=NA")</f>
        <v>54.868394471359579</v>
      </c>
      <c r="J25" s="24" t="s">
        <v>34</v>
      </c>
      <c r="K25" s="30" t="s">
        <v>43</v>
      </c>
      <c r="L25" s="26">
        <f>_xll.BDP($D$1,K25,$D$9,$D$10,$F$9,$F$10,$H$9,$H$10,$J$9,$J$10,$L$9,$L$10,$N$9,$N$10,$P$9,$P$10,$R$9,$R$10,"ACTIVATE_MULTICALC_MODE=Y","Fill=NA")</f>
        <v>-1.4618789642365049E-3</v>
      </c>
      <c r="N25" s="24" t="s">
        <v>78</v>
      </c>
      <c r="O25" s="30" t="s">
        <v>80</v>
      </c>
      <c r="P25" s="26">
        <f>_xll.BDP($D$1,O25,$D$9,$D$10,$F$9,$F$10,$H$9,$H$10,$J$9,$J$10,$L$9,$L$10,$N$9,$N$10,$P$9,$P$10,$R$9,$R$10,"ACTIVATE_MULTICALC_MODE=Y","Fill=NA")</f>
        <v>4.5791320000000004</v>
      </c>
    </row>
    <row r="26" spans="2:16" ht="15" customHeight="1" x14ac:dyDescent="0.25">
      <c r="B26" s="24" t="s">
        <v>28</v>
      </c>
      <c r="C26" s="25" t="s">
        <v>37</v>
      </c>
      <c r="D26" s="26">
        <f>_xll.BDP($D$1,C26,$D$9,$D$10,$F$9,$F$10,$H$9,$H$10,$J$9,$J$10,$L$9,$L$10,$N$9,$N$10,$P$9,$P$10,$R$9,$R$10,"ACTIVATE_MULTICALC_MODE=Y","Fill=NA")</f>
        <v>1.36408102988274E-4</v>
      </c>
      <c r="F26" s="24" t="s">
        <v>60</v>
      </c>
      <c r="G26" s="30" t="s">
        <v>287</v>
      </c>
      <c r="H26" s="26">
        <f>_xll.BDP($D$1,G26,$D$9,$D$10,$F$9,$F$10,$H$9,$H$10,$J$9,$J$10,$L$9,$L$10,$N$9,$N$10,$P$9,$P$10,$R$9,$R$10,"ACTIVATE_MULTICALC_MODE=Y","Fill=NA")</f>
        <v>126.79999690569259</v>
      </c>
      <c r="J26" s="24" t="s">
        <v>35</v>
      </c>
      <c r="K26" s="30" t="s">
        <v>44</v>
      </c>
      <c r="L26" s="26">
        <f>_xll.BDP($D$1,K26,$D$9,$D$10,$F$9,$F$10,$H$9,$H$10,$J$9,$J$10,$L$9,$L$10,$N$9,$N$10,$P$9,$P$10,$R$9,$R$10,"ACTIVATE_MULTICALC_MODE=Y","Fill=NA")</f>
        <v>0</v>
      </c>
      <c r="N26" s="24" t="s">
        <v>79</v>
      </c>
      <c r="O26" s="30" t="s">
        <v>81</v>
      </c>
      <c r="P26" s="26">
        <f>_xll.BDP($D$1,O26,$D$9,$D$10,$F$9,$F$10,$H$9,$H$10,$J$9,$J$10,$L$9,$L$10,$N$9,$N$10,$P$9,$P$10,$R$9,$R$10,"ACTIVATE_MULTICALC_MODE=Y","Fill=NA")</f>
        <v>0</v>
      </c>
    </row>
    <row r="27" spans="2:16" ht="15" customHeight="1" x14ac:dyDescent="0.25">
      <c r="B27" s="24" t="s">
        <v>29</v>
      </c>
      <c r="C27" s="25" t="s">
        <v>38</v>
      </c>
      <c r="D27" s="26">
        <f>_xll.BDP($D$1,C27,$D$9,$D$10,$F$9,$F$10,$H$9,$H$10,$J$9,$J$10,$L$9,$L$10,$N$9,$N$10,$P$9,$P$10,$R$9,$R$10,"ACTIVATE_MULTICALC_MODE=Y","Fill=NA")</f>
        <v>5.9025954781255866E-5</v>
      </c>
      <c r="F27" s="24" t="s">
        <v>30</v>
      </c>
      <c r="G27" s="30" t="s">
        <v>39</v>
      </c>
      <c r="H27" s="26">
        <f>_xll.BDP($D$1,G27,$D$9,$D$10,$F$9,$F$10,$H$9,$H$10,$J$9,$J$10,$L$9,$L$10,$N$9,$N$10,$P$9,$P$10,$R$9,$R$10,"ACTIVATE_MULTICALC_MODE=Y","Fill=NA")</f>
        <v>2.3951476304853287E-5</v>
      </c>
      <c r="J27" s="24" t="s">
        <v>36</v>
      </c>
      <c r="K27" s="30" t="s">
        <v>45</v>
      </c>
      <c r="L27" s="26">
        <f>_xll.BDP($D$1,K27,$D$9,$D$10,$F$9,$F$10,$H$9,$H$10,$J$9,$J$10,$L$9,$L$10,$N$9,$N$10,$P$9,$P$10,$R$9,$R$10,"ACTIVATE_MULTICALC_MODE=Y","Fill=NA")</f>
        <v>4.4360884679613419E-3</v>
      </c>
      <c r="N27" s="24" t="s">
        <v>82</v>
      </c>
      <c r="O27" s="30" t="s">
        <v>85</v>
      </c>
      <c r="P27" s="26">
        <f>_xll.BDP($D$1,O27,$D$9,$D$10,$F$9,$F$10,$H$9,$H$10,$J$9,$J$10,$L$9,$L$10,$N$9,$N$10,$P$9,$P$10,$R$9,$R$10,"ACTIVATE_MULTICALC_MODE=Y","Fill=NA")</f>
        <v>0</v>
      </c>
    </row>
    <row r="28" spans="2:16" ht="15" customHeight="1" x14ac:dyDescent="0.25">
      <c r="B28" s="24" t="s">
        <v>98</v>
      </c>
      <c r="C28" s="25" t="s">
        <v>48</v>
      </c>
      <c r="D28" s="26">
        <f>_xll.BDP($D$1,C28,$D$9,$D$10,$F$9,$F$10,$H$9,$H$10,$J$9,$J$10,$L$9,$L$10,$N$9,$N$10,$P$9,$P$10,$R$9,$R$10,"ACTIVATE_MULTICALC_MODE=Y","Fill=NA")</f>
        <v>140.48244583407404</v>
      </c>
      <c r="F28" s="24" t="s">
        <v>31</v>
      </c>
      <c r="G28" s="30" t="s">
        <v>40</v>
      </c>
      <c r="H28" s="26">
        <f>_xll.BDP($D$1,G28,$D$9,$D$10,$F$9,$F$10,$H$9,$H$10,$J$9,$J$10,$L$9,$L$10,$N$9,$N$10,$P$9,$P$10,$R$9,$R$10,"ACTIVATE_MULTICALC_MODE=Y","Fill=NA")</f>
        <v>1.4609157512381898E-4</v>
      </c>
      <c r="J28" s="24" t="s">
        <v>68</v>
      </c>
      <c r="K28" s="30" t="s">
        <v>69</v>
      </c>
      <c r="L28" s="26">
        <f>_xll.BDP($D$1,K28,$D$9,$D$10,$F$9,$F$10,$H$9,$H$10,$J$9,$J$10,$L$9,$L$10,$N$9,$N$10,$P$9,$P$10,$R$9,$R$10,"ACTIVATE_MULTICALC_MODE=Y","Fill=NA")</f>
        <v>-0.28424117091272677</v>
      </c>
      <c r="N28" s="24" t="s">
        <v>83</v>
      </c>
      <c r="O28" s="30" t="s">
        <v>86</v>
      </c>
      <c r="P28" s="26">
        <f>_xll.BDP($D$1,O28,$D$9,$D$10,$F$9,$F$10,$H$9,$H$10,$J$9,$J$10,$L$9,$L$10,$N$9,$N$10,$P$9,$P$10,$R$9,$R$10,"ACTIVATE_MULTICALC_MODE=Y","Fill=NA")</f>
        <v>0</v>
      </c>
    </row>
    <row r="29" spans="2:16" ht="15" customHeight="1" x14ac:dyDescent="0.25">
      <c r="B29" s="24" t="s">
        <v>103</v>
      </c>
      <c r="C29" s="25"/>
      <c r="D29" s="26">
        <f>IF(_xll.BDP($D1&amp;" Corp","PCT_PAR_QUOTED")="Y",$D22*_xll.BDP($D1&amp;" Corp","PAR_AMT")/100,$D22)</f>
        <v>965.85350801969867</v>
      </c>
      <c r="F29" s="24" t="s">
        <v>32</v>
      </c>
      <c r="G29" s="30" t="s">
        <v>41</v>
      </c>
      <c r="H29" s="26">
        <f>_xll.BDP($D$1,G29,$D$9,$D$10,$F$9,$F$10,$H$9,$H$10,$J$9,$J$10,$L$9,$L$10,$N$9,$N$10,$P$9,$P$10,$R$9,$R$10,"ACTIVATE_MULTICALC_MODE=Y","Fill=NA")</f>
        <v>1.3390486756873089E-2</v>
      </c>
      <c r="J29" s="27" t="s">
        <v>102</v>
      </c>
      <c r="K29" s="31" t="s">
        <v>71</v>
      </c>
      <c r="L29" s="29">
        <f>_xll.BDP($D$1,K29,$D$9,$D$10,$F$9,$F$10,$H$9,$H$10,$J$9,$J$10,$L$9,$L$10,$N$9,$N$10,$P$9,$P$10,$R$9,$R$10,"ACTIVATE_MULTICALC_MODE=Y","Fill=NA")</f>
        <v>0.40952845374980501</v>
      </c>
      <c r="N29" s="27" t="s">
        <v>104</v>
      </c>
      <c r="O29" s="31" t="s">
        <v>87</v>
      </c>
      <c r="P29" s="29">
        <f>_xll.BDP($D$1,O29,"SETTLE_DT",$D$10,"Fill=NA")</f>
        <v>0</v>
      </c>
    </row>
    <row r="30" spans="2:16" ht="15" customHeight="1" x14ac:dyDescent="0.25">
      <c r="B30" s="27" t="s">
        <v>50</v>
      </c>
      <c r="C30" s="28" t="s">
        <v>52</v>
      </c>
      <c r="D30" s="29">
        <f>_xll.BDP($D$1,C30,$D$9,$D$10,$F$9,$F$10,$H$9,$H$10,$J$9,$J$10,$L$9,$L$10,$N$9,$N$10,$P$9,$P$10,$R$9,$R$10,"ACTIVATE_MULTICALC_MODE=Y","Fill=NA")</f>
        <v>4.7258587280287525E-5</v>
      </c>
      <c r="F30" s="27" t="s">
        <v>99</v>
      </c>
      <c r="G30" s="31" t="s">
        <v>63</v>
      </c>
      <c r="H30" s="29">
        <f>_xll.BDP($D$1,G30,$D$9,$D$10,$F$9,$F$10,$H$9,$H$10,$J$9,$J$10,$L$9,$L$10,$N$9,$N$10,$P$9,$P$10,$R$9,$R$10,"ACTIVATE_MULTICALC_MODE=Y","Fill=NA")</f>
        <v>0.41005642192316949</v>
      </c>
    </row>
    <row r="31" spans="2:16" ht="5.0999999999999996" customHeight="1" x14ac:dyDescent="0.25"/>
    <row r="32" spans="2:16" ht="15" customHeight="1" x14ac:dyDescent="0.25">
      <c r="B32" s="172" t="s">
        <v>157</v>
      </c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4"/>
    </row>
    <row r="33" spans="2:16" ht="3" customHeight="1" x14ac:dyDescent="0.25"/>
    <row r="34" spans="2:16" ht="15" customHeight="1" x14ac:dyDescent="0.25">
      <c r="B34" s="115" t="s">
        <v>107</v>
      </c>
      <c r="C34" s="116" t="s">
        <v>158</v>
      </c>
      <c r="D34" s="117" t="str">
        <f>_xll.BDP($D$1,C34,"Fill=NA")</f>
        <v>USD</v>
      </c>
      <c r="E34" s="118"/>
      <c r="F34" s="115" t="s">
        <v>121</v>
      </c>
      <c r="G34" s="116" t="s">
        <v>172</v>
      </c>
      <c r="H34" s="117">
        <f>_xll.BDP($D$1,G34,"Fill=NA")</f>
        <v>288.6419396738346</v>
      </c>
      <c r="I34" s="118"/>
      <c r="J34" s="115" t="s">
        <v>134</v>
      </c>
      <c r="K34" s="116" t="s">
        <v>184</v>
      </c>
      <c r="L34" s="117" t="str">
        <f>_xll.BDP($D$1,K34,"Fill=NA")</f>
        <v>2MMM</v>
      </c>
      <c r="M34" s="118"/>
      <c r="N34" s="115" t="s">
        <v>145</v>
      </c>
      <c r="O34" s="116" t="s">
        <v>195</v>
      </c>
      <c r="P34" s="117" t="str">
        <f>IF(ISERROR(_xll.BDP($D$1,O34)*1),"None",_xll.BDP($D$1,O34))</f>
        <v>None</v>
      </c>
    </row>
    <row r="35" spans="2:16" ht="15" customHeight="1" x14ac:dyDescent="0.25">
      <c r="B35" s="24" t="s">
        <v>108</v>
      </c>
      <c r="C35" s="25" t="s">
        <v>160</v>
      </c>
      <c r="D35" s="26" t="str">
        <f>_xll.BDP($D$36,C35,"Fill=NA")</f>
        <v>USD</v>
      </c>
      <c r="F35" s="24" t="s">
        <v>122</v>
      </c>
      <c r="G35" s="25" t="s">
        <v>173</v>
      </c>
      <c r="H35" s="26">
        <f>_xll.BDP($D$1,G35,"Fill=NA")</f>
        <v>3.4645000000000001</v>
      </c>
      <c r="J35" s="24" t="s">
        <v>135</v>
      </c>
      <c r="K35" s="25" t="s">
        <v>185</v>
      </c>
      <c r="L35" s="26" t="str">
        <f>_xll.BDP($D$1,K35,"Fill=NA")</f>
        <v>2MMM</v>
      </c>
      <c r="N35" s="24" t="s">
        <v>146</v>
      </c>
      <c r="O35" s="25" t="s">
        <v>196</v>
      </c>
      <c r="P35" s="26" t="str">
        <f>IF(ISERROR(_xll.BDP($D$1,O35)*1),"None",_xll.BDP($D$1,O35))</f>
        <v>None</v>
      </c>
    </row>
    <row r="36" spans="2:16" ht="15" customHeight="1" x14ac:dyDescent="0.25">
      <c r="B36" s="24" t="s">
        <v>109</v>
      </c>
      <c r="C36" s="25" t="s">
        <v>159</v>
      </c>
      <c r="D36" s="26" t="str">
        <f>_xll.BDP($D$1,C36,"Fill=NA")</f>
        <v>ABNB US Equity</v>
      </c>
      <c r="F36" s="24" t="s">
        <v>123</v>
      </c>
      <c r="G36" s="25" t="s">
        <v>174</v>
      </c>
      <c r="H36" s="26">
        <f>_xll.BDP($D$1,G36,"Fill=NA")</f>
        <v>1000</v>
      </c>
      <c r="J36" s="24" t="s">
        <v>136</v>
      </c>
      <c r="K36" s="25" t="s">
        <v>186</v>
      </c>
      <c r="L36" s="26" t="str">
        <f>_xll.BDP($D$1,K36,"Fill=NA")</f>
        <v>08/03/2021</v>
      </c>
      <c r="N36" s="24" t="s">
        <v>147</v>
      </c>
      <c r="O36" s="25" t="s">
        <v>197</v>
      </c>
      <c r="P36" s="26" t="str">
        <f>IF(ISERROR(_xll.BDP($D$1,O36)*1),"None",_xll.BDP($D$1,O36))</f>
        <v>None</v>
      </c>
    </row>
    <row r="37" spans="2:16" ht="15" customHeight="1" x14ac:dyDescent="0.25">
      <c r="B37" s="24" t="s">
        <v>110</v>
      </c>
      <c r="C37" s="25" t="s">
        <v>161</v>
      </c>
      <c r="D37" s="26" t="str">
        <f>_xll.BDP($D$1,C37,"Fill=NA")</f>
        <v>009066AB7</v>
      </c>
      <c r="F37" s="24" t="s">
        <v>124</v>
      </c>
      <c r="G37" s="25" t="s">
        <v>175</v>
      </c>
      <c r="H37" s="26">
        <f>_xll.BDP($D$1,G37,"Fill=NA")</f>
        <v>60</v>
      </c>
      <c r="J37" s="24" t="s">
        <v>137</v>
      </c>
      <c r="K37" s="25" t="s">
        <v>187</v>
      </c>
      <c r="L37" s="26" t="str">
        <f>_xll.BDP($D$1,K37,"Fill=NA")</f>
        <v>15/03/2026</v>
      </c>
      <c r="N37" s="24" t="s">
        <v>148</v>
      </c>
      <c r="O37" s="25" t="s">
        <v>198</v>
      </c>
      <c r="P37" s="26" t="str">
        <f>IF(ISERROR(_xll.BDP($D$1,O37)*1),"None",_xll.BDP($D$1,O37))</f>
        <v>None</v>
      </c>
    </row>
    <row r="38" spans="2:16" ht="15" customHeight="1" x14ac:dyDescent="0.25">
      <c r="B38" s="24" t="s">
        <v>111</v>
      </c>
      <c r="C38" s="25" t="s">
        <v>162</v>
      </c>
      <c r="D38" s="26" t="str">
        <f>_xll.BDP($D$1,C38,"Fill=NA")</f>
        <v>SR UNSECURED</v>
      </c>
      <c r="F38" s="24" t="s">
        <v>125</v>
      </c>
      <c r="G38" s="25" t="s">
        <v>176</v>
      </c>
      <c r="H38" s="26">
        <f>_xll.BDP($D$1,G38,"Fill=NA")</f>
        <v>0</v>
      </c>
      <c r="J38" s="24" t="s">
        <v>138</v>
      </c>
      <c r="K38" s="25" t="s">
        <v>188</v>
      </c>
      <c r="L38" s="26" t="str">
        <f>_xll.BDP($D$1,K38,"Fill=NA")</f>
        <v>01/07/2021</v>
      </c>
      <c r="N38" s="24" t="s">
        <v>149</v>
      </c>
      <c r="O38" s="25"/>
      <c r="P38" s="26">
        <f>_xll.BDP($D$36,"BEST_EST_LONG_TERM_GROWTH")</f>
        <v>10.47</v>
      </c>
    </row>
    <row r="39" spans="2:16" ht="15" customHeight="1" x14ac:dyDescent="0.25">
      <c r="B39" s="24" t="s">
        <v>112</v>
      </c>
      <c r="C39" s="25" t="s">
        <v>163</v>
      </c>
      <c r="D39" s="26" t="str">
        <f>_xll.BDP($D$1,C39,"Fill=NA")</f>
        <v>US DOMESTIC</v>
      </c>
      <c r="F39" s="24" t="s">
        <v>126</v>
      </c>
      <c r="G39" s="25" t="s">
        <v>177</v>
      </c>
      <c r="H39" s="26" t="str">
        <f>_xll.BDP($D$1,G39,"Fill=NA")</f>
        <v>#N/A Field Not Applicable</v>
      </c>
      <c r="J39" s="24" t="s">
        <v>139</v>
      </c>
      <c r="K39" s="25" t="s">
        <v>189</v>
      </c>
      <c r="L39" s="26" t="str">
        <f>_xll.BDP($D$1,K39,"Fill=NA")</f>
        <v>12/03/2026</v>
      </c>
      <c r="N39" s="24" t="s">
        <v>150</v>
      </c>
      <c r="O39" s="25"/>
      <c r="P39" s="26" t="str">
        <f>TEXT(_xll.BDP($D$36,"BEST_EPS","BEST_FPERIOD_OVERRIDE=1FY"),"0.00") &amp; " / " &amp; TEXT(_xll.BDP($D$36,"BEST_EPS","BEST_FPERIOD_OVERRIDE=2FY"),"0.00")</f>
        <v>4.29 / 4.84</v>
      </c>
    </row>
    <row r="40" spans="2:16" ht="15" customHeight="1" x14ac:dyDescent="0.25">
      <c r="B40" s="24" t="s">
        <v>113</v>
      </c>
      <c r="C40" s="25" t="s">
        <v>164</v>
      </c>
      <c r="D40" s="26" t="str">
        <f>_xll.BDP($D$1,C40,"Fill=NA")</f>
        <v>US009066AB74</v>
      </c>
      <c r="F40" s="24" t="s">
        <v>127</v>
      </c>
      <c r="G40" s="25" t="s">
        <v>178</v>
      </c>
      <c r="H40" s="26" t="str">
        <f>_xll.BDP($D$1,G40,"Fill=NA")</f>
        <v>#N/A Field Not Applicable</v>
      </c>
      <c r="J40" s="24" t="s">
        <v>140</v>
      </c>
      <c r="K40" s="25" t="s">
        <v>190</v>
      </c>
      <c r="L40" s="26" t="str">
        <f>_xll.BDP($D$1,K40,"Fill=NA")</f>
        <v>30/360</v>
      </c>
      <c r="N40" s="24" t="s">
        <v>151</v>
      </c>
      <c r="O40" s="25"/>
      <c r="P40" s="26" t="str">
        <f>TEXT(_xll.BDP($D$36,"BEST_PE_RATIO","BEST_FPERIOD_OVERRIDE=1FY"),"0.00") &amp; " / " &amp; TEXT(_xll.BDP($D$36,"BEST_PE_RATIO","BEST_FPERIOD_OVERRIDE=2FY"),"0.00")</f>
        <v>29.10 / 25.79</v>
      </c>
    </row>
    <row r="41" spans="2:16" ht="15" customHeight="1" x14ac:dyDescent="0.25">
      <c r="B41" s="24" t="s">
        <v>114</v>
      </c>
      <c r="C41" s="25" t="s">
        <v>165</v>
      </c>
      <c r="D41" s="26" t="str">
        <f>_xll.BDP($D$1,C41,"Fill=NA")</f>
        <v>246127433</v>
      </c>
      <c r="F41" s="24" t="s">
        <v>128</v>
      </c>
      <c r="G41" s="25" t="s">
        <v>179</v>
      </c>
      <c r="H41" s="26" t="str">
        <f>_xll.BDP($D$1,G41,"Fill=NA")</f>
        <v>#N/A Field Not Applicable</v>
      </c>
      <c r="J41" s="24" t="s">
        <v>141</v>
      </c>
      <c r="K41" s="25" t="s">
        <v>191</v>
      </c>
      <c r="L41" s="26" t="str">
        <f>_xll.BDP($D$1,K41,"Fill=NA")</f>
        <v>JOINT LEADS</v>
      </c>
      <c r="N41" s="24" t="s">
        <v>152</v>
      </c>
      <c r="O41" s="25"/>
      <c r="P41" s="26" t="str">
        <f>TEXT(_xll.BDP($D$36,"BEST_PEG_RATIO","BEST_FPERIOD_OVERRIDE=1FY"),"0.00") &amp; " / " &amp; TEXT(_xll.BDP($D$36,"BEST_PEG_RATIO","BEST_FPERIOD_OVERRIDE=2FY"),"0.00")</f>
        <v>2.78 / 2.46</v>
      </c>
    </row>
    <row r="42" spans="2:16" ht="15" customHeight="1" x14ac:dyDescent="0.25">
      <c r="B42" s="24" t="s">
        <v>115</v>
      </c>
      <c r="C42" s="25" t="s">
        <v>166</v>
      </c>
      <c r="D42" s="26" t="str">
        <f>_xll.BDP($D$1,C42,"Fill=NA")</f>
        <v>A3K3LL</v>
      </c>
      <c r="F42" s="24" t="s">
        <v>129</v>
      </c>
      <c r="G42" s="25" t="s">
        <v>180</v>
      </c>
      <c r="H42" s="26">
        <f>_xll.BDP($D$1,G42,"Fill=NA")</f>
        <v>130</v>
      </c>
      <c r="J42" s="24" t="s">
        <v>142</v>
      </c>
      <c r="K42" s="25" t="s">
        <v>192</v>
      </c>
      <c r="L42" s="42">
        <f>_xll.BDP($D$1,K42,"Fill=NA","SCALING_FORMAT=BLN")</f>
        <v>77.617315183000002</v>
      </c>
      <c r="N42" s="24" t="s">
        <v>153</v>
      </c>
      <c r="O42" s="25"/>
      <c r="P42" s="26">
        <f>_xll.BDP($D$36,"CHG_PCT_HIGH_52WEEK")</f>
        <v>-23.79063875622759</v>
      </c>
    </row>
    <row r="43" spans="2:16" ht="15" customHeight="1" x14ac:dyDescent="0.25">
      <c r="B43" s="24" t="s">
        <v>116</v>
      </c>
      <c r="C43" s="25" t="s">
        <v>169</v>
      </c>
      <c r="D43" s="26" t="str">
        <f>_xll.BDP($D$1,C43,"Fill=NA")</f>
        <v>NA</v>
      </c>
      <c r="F43" s="24" t="s">
        <v>130</v>
      </c>
      <c r="G43" s="25" t="s">
        <v>181</v>
      </c>
      <c r="H43" s="26" t="str">
        <f>_xll.BDP($D$1,G43,"Fill=NA")</f>
        <v>NA</v>
      </c>
      <c r="J43" s="24" t="s">
        <v>143</v>
      </c>
      <c r="K43" s="25" t="s">
        <v>193</v>
      </c>
      <c r="L43" s="26" t="str">
        <f>_xll.BDP($D$1,K43,"Fill=NA")</f>
        <v>Internet</v>
      </c>
      <c r="M43" s="14">
        <v>1</v>
      </c>
      <c r="N43" s="24" t="s">
        <v>154</v>
      </c>
      <c r="O43" s="25"/>
      <c r="P43" s="26">
        <f>_xll.BDP($D$36,"CHG_PCT_LOW_52WEEK")</f>
        <v>25.080099860435851</v>
      </c>
    </row>
    <row r="44" spans="2:16" ht="15" customHeight="1" x14ac:dyDescent="0.25">
      <c r="B44" s="24" t="s">
        <v>117</v>
      </c>
      <c r="C44" s="25" t="s">
        <v>167</v>
      </c>
      <c r="D44" s="26" t="str">
        <f>_xll.BDP($D$1,C44,"Fill=NA")</f>
        <v>NA</v>
      </c>
      <c r="F44" s="24" t="s">
        <v>131</v>
      </c>
      <c r="G44" s="25" t="s">
        <v>173</v>
      </c>
      <c r="H44" s="26">
        <f>_xll.BDP($D$1,G44,"Fill=NA")</f>
        <v>3.4645000000000001</v>
      </c>
      <c r="J44" s="27" t="s">
        <v>144</v>
      </c>
      <c r="K44" s="28" t="s">
        <v>194</v>
      </c>
      <c r="L44" s="29" t="str">
        <f>_xll.BDP($D$1,K44,"Fill=NA")</f>
        <v>Communications</v>
      </c>
      <c r="M44" s="14">
        <v>1</v>
      </c>
      <c r="N44" s="24" t="s">
        <v>155</v>
      </c>
      <c r="O44" s="25"/>
      <c r="P44" s="26">
        <f>_xll.BDP($D$36,"TRAIL_12M_DVD_PER_SH")</f>
        <v>0</v>
      </c>
    </row>
    <row r="45" spans="2:16" ht="15" customHeight="1" x14ac:dyDescent="0.25">
      <c r="B45" s="24" t="s">
        <v>118</v>
      </c>
      <c r="C45" s="25" t="s">
        <v>168</v>
      </c>
      <c r="D45" s="26" t="str">
        <f>_xll.BDP($D$1,C45,"Fill=NA")</f>
        <v>NA</v>
      </c>
      <c r="F45" s="24" t="s">
        <v>132</v>
      </c>
      <c r="G45" s="25" t="s">
        <v>182</v>
      </c>
      <c r="H45" s="26">
        <f>_xll.BDP($D$1,G45,"Fill=NA")</f>
        <v>3.4645000000000001</v>
      </c>
      <c r="N45" s="27" t="s">
        <v>156</v>
      </c>
      <c r="O45" s="28" t="s">
        <v>199</v>
      </c>
      <c r="P45" s="29" t="str">
        <f>_xll.BDP($D$1,O45,"Fill=NA")</f>
        <v>TRACE</v>
      </c>
    </row>
    <row r="46" spans="2:16" ht="15" customHeight="1" x14ac:dyDescent="0.25">
      <c r="B46" s="24" t="s">
        <v>119</v>
      </c>
      <c r="C46" s="25" t="s">
        <v>170</v>
      </c>
      <c r="D46" s="26" t="str">
        <f>_xll.BDP($D$1,C46,"Fill=NA")</f>
        <v>Y</v>
      </c>
      <c r="F46" s="27" t="s">
        <v>133</v>
      </c>
      <c r="G46" s="28" t="s">
        <v>183</v>
      </c>
      <c r="H46" s="29">
        <f>_xll.BDP($D$1,G46,"Fill=NA")</f>
        <v>0</v>
      </c>
    </row>
    <row r="47" spans="2:16" ht="15" customHeight="1" x14ac:dyDescent="0.25">
      <c r="B47" s="27" t="s">
        <v>120</v>
      </c>
      <c r="C47" s="28" t="s">
        <v>171</v>
      </c>
      <c r="D47" s="29">
        <f>_xll.BDP($D$1,C47,"Fill=NA")</f>
        <v>0</v>
      </c>
    </row>
    <row r="49" spans="2:16" hidden="1" x14ac:dyDescent="0.25">
      <c r="B49" s="154" t="s">
        <v>243</v>
      </c>
      <c r="C49" s="155"/>
      <c r="D49" s="155"/>
      <c r="E49" s="155"/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6"/>
    </row>
    <row r="50" spans="2:16" ht="15" hidden="1" customHeight="1" x14ac:dyDescent="0.25"/>
    <row r="51" spans="2:16" hidden="1" x14ac:dyDescent="0.25">
      <c r="C51" s="15" t="s">
        <v>200</v>
      </c>
      <c r="G51" s="15" t="s">
        <v>206</v>
      </c>
      <c r="J51" s="108" t="s">
        <v>240</v>
      </c>
      <c r="K51" s="109"/>
      <c r="L51" s="144" t="s">
        <v>157</v>
      </c>
      <c r="M51" s="145"/>
      <c r="N51" s="109" t="s">
        <v>241</v>
      </c>
      <c r="O51" s="109"/>
      <c r="P51" s="110" t="s">
        <v>242</v>
      </c>
    </row>
    <row r="52" spans="2:16" hidden="1" x14ac:dyDescent="0.25">
      <c r="C52" s="15" t="s">
        <v>201</v>
      </c>
      <c r="G52" s="15" t="s">
        <v>207</v>
      </c>
      <c r="J52" s="104" t="str">
        <f>_xll.BDS($C$67,"CURVE_TERMS","cols=1;rows=21")</f>
        <v>3M</v>
      </c>
      <c r="K52" s="105"/>
      <c r="L52" s="177" t="str">
        <f>_xll.BDS($C$67,"CURVE_MEMBERS","cols=1;rows=21")</f>
        <v>#N/A N/A</v>
      </c>
      <c r="M52" s="178"/>
      <c r="N52" s="106" t="str">
        <f>IF($J52="","",_xll.BDP($L52,"PX_LAST"))</f>
        <v>#N/A Invalid Security</v>
      </c>
      <c r="O52" s="105"/>
      <c r="P52" s="114">
        <f>IF($J52="","",_xll.BADDPERIODS(_xll.BTODAY(),"Per="&amp;RIGHT($J52,1),"NumberOfPeriods="&amp;LEFT($J52,LEN($J52)-1),"CDR="&amp;$C$68))</f>
        <v>46037</v>
      </c>
    </row>
    <row r="53" spans="2:16" hidden="1" x14ac:dyDescent="0.25">
      <c r="C53" s="15" t="s">
        <v>202</v>
      </c>
      <c r="G53" s="15" t="s">
        <v>208</v>
      </c>
      <c r="J53" s="80" t="s">
        <v>215</v>
      </c>
      <c r="K53" s="77"/>
      <c r="L53" s="157" t="s">
        <v>328</v>
      </c>
      <c r="M53" s="158"/>
      <c r="N53" s="81" t="str">
        <f>IF($J53="","",_xll.BDP($L53,"PX_LAST"))</f>
        <v>#N/A Invalid Security</v>
      </c>
      <c r="O53" s="77"/>
      <c r="P53" s="95">
        <f>IF($J53="","",_xll.BADDPERIODS(_xll.BTODAY(),"Per="&amp;RIGHT($J53,1),"NumberOfPeriods="&amp;LEFT($J53,LEN($J53)-1),"CDR="&amp;$C$68))</f>
        <v>46127</v>
      </c>
    </row>
    <row r="54" spans="2:16" hidden="1" x14ac:dyDescent="0.25">
      <c r="C54" s="15" t="s">
        <v>203</v>
      </c>
      <c r="G54" s="15" t="s">
        <v>209</v>
      </c>
      <c r="J54" s="83" t="s">
        <v>216</v>
      </c>
      <c r="K54" s="78"/>
      <c r="L54" s="164" t="s">
        <v>328</v>
      </c>
      <c r="M54" s="165"/>
      <c r="N54" s="84" t="str">
        <f>IF($J54="","",_xll.BDP($L54,"PX_LAST"))</f>
        <v>#N/A Invalid Security</v>
      </c>
      <c r="O54" s="78"/>
      <c r="P54" s="96">
        <f>IF($J54="","",_xll.BADDPERIODS(_xll.BTODAY(),"Per="&amp;RIGHT($J54,1),"NumberOfPeriods="&amp;LEFT($J54,LEN($J54)-1),"CDR="&amp;$C$68))</f>
        <v>46218</v>
      </c>
    </row>
    <row r="55" spans="2:16" hidden="1" x14ac:dyDescent="0.25">
      <c r="C55" s="15" t="s">
        <v>204</v>
      </c>
      <c r="G55" s="15" t="s">
        <v>210</v>
      </c>
      <c r="J55" s="80" t="s">
        <v>217</v>
      </c>
      <c r="K55" s="77"/>
      <c r="L55" s="157" t="s">
        <v>328</v>
      </c>
      <c r="M55" s="158"/>
      <c r="N55" s="81" t="str">
        <f>IF($J55="","",_xll.BDP($L55,"PX_LAST"))</f>
        <v>#N/A Invalid Security</v>
      </c>
      <c r="O55" s="77"/>
      <c r="P55" s="82">
        <f>IF($J55="","",_xll.BADDPERIODS(_xll.BTODAY(),"Per="&amp;RIGHT($J55,1),"NumberOfPeriods="&amp;LEFT($J55,LEN($J55)-1),"CDR="&amp;$C$68))</f>
        <v>46310</v>
      </c>
    </row>
    <row r="56" spans="2:16" hidden="1" x14ac:dyDescent="0.25">
      <c r="C56" s="15" t="s">
        <v>205</v>
      </c>
      <c r="G56" s="15" t="s">
        <v>211</v>
      </c>
      <c r="J56" s="83" t="s">
        <v>327</v>
      </c>
      <c r="K56" s="78"/>
      <c r="L56" s="164" t="s">
        <v>328</v>
      </c>
      <c r="M56" s="165"/>
      <c r="N56" s="84" t="str">
        <f>IF($J56="","",_xll.BDP($L56,"PX_LAST"))</f>
        <v>#N/A Invalid Security</v>
      </c>
      <c r="O56" s="78"/>
      <c r="P56" s="85">
        <f>IF($J56="","",_xll.BADDPERIODS(_xll.BTODAY(),"Per="&amp;RIGHT($J56,1),"NumberOfPeriods="&amp;LEFT($J56,LEN($J56)-1),"CDR="&amp;$C$68))</f>
        <v>46492</v>
      </c>
    </row>
    <row r="57" spans="2:16" hidden="1" x14ac:dyDescent="0.25">
      <c r="J57" s="80" t="s">
        <v>218</v>
      </c>
      <c r="K57" s="77"/>
      <c r="L57" s="157" t="s">
        <v>328</v>
      </c>
      <c r="M57" s="158"/>
      <c r="N57" s="81" t="str">
        <f>IF($J57="","",_xll.BDP($L57,"PX_LAST"))</f>
        <v>#N/A Invalid Security</v>
      </c>
      <c r="O57" s="77"/>
      <c r="P57" s="82">
        <f>IF($J57="","",_xll.BADDPERIODS(_xll.BTODAY(),"Per="&amp;RIGHT($J57,1),"NumberOfPeriods="&amp;LEFT($J57,LEN($J57)-1),"CDR="&amp;$C$68))</f>
        <v>46675</v>
      </c>
    </row>
    <row r="58" spans="2:16" hidden="1" x14ac:dyDescent="0.25">
      <c r="C58" s="15" t="s">
        <v>200</v>
      </c>
      <c r="G58" s="15" t="s">
        <v>234</v>
      </c>
      <c r="J58" s="83" t="s">
        <v>219</v>
      </c>
      <c r="K58" s="78"/>
      <c r="L58" s="164" t="s">
        <v>328</v>
      </c>
      <c r="M58" s="165"/>
      <c r="N58" s="84" t="str">
        <f>IF($J58="","",_xll.BDP($L58,"PX_LAST"))</f>
        <v>#N/A Invalid Security</v>
      </c>
      <c r="O58" s="78"/>
      <c r="P58" s="85">
        <f>IF($J58="","",_xll.BADDPERIODS(_xll.BTODAY(),"Per="&amp;RIGHT($J58,1),"NumberOfPeriods="&amp;LEFT($J58,LEN($J58)-1),"CDR="&amp;$C$68))</f>
        <v>47042</v>
      </c>
    </row>
    <row r="59" spans="2:16" hidden="1" x14ac:dyDescent="0.25">
      <c r="C59" s="15" t="s">
        <v>201</v>
      </c>
      <c r="G59" s="15" t="s">
        <v>235</v>
      </c>
      <c r="J59" s="80" t="s">
        <v>220</v>
      </c>
      <c r="K59" s="77"/>
      <c r="L59" s="157" t="s">
        <v>328</v>
      </c>
      <c r="M59" s="158"/>
      <c r="N59" s="81" t="str">
        <f>IF($J59="","",_xll.BDP($L59,"PX_LAST"))</f>
        <v>#N/A Invalid Security</v>
      </c>
      <c r="O59" s="77"/>
      <c r="P59" s="82">
        <f>IF($J59="","",_xll.BADDPERIODS(_xll.BTODAY(),"Per="&amp;RIGHT($J59,1),"NumberOfPeriods="&amp;LEFT($J59,LEN($J59)-1),"CDR="&amp;$C$68))</f>
        <v>47406</v>
      </c>
    </row>
    <row r="60" spans="2:16" hidden="1" x14ac:dyDescent="0.25">
      <c r="C60" s="15" t="s">
        <v>202</v>
      </c>
      <c r="G60" s="15" t="s">
        <v>236</v>
      </c>
      <c r="J60" s="83" t="s">
        <v>221</v>
      </c>
      <c r="K60" s="78"/>
      <c r="L60" s="164" t="s">
        <v>328</v>
      </c>
      <c r="M60" s="165"/>
      <c r="N60" s="84" t="str">
        <f>IF($J60="","",_xll.BDP($L60,"PX_LAST"))</f>
        <v>#N/A Invalid Security</v>
      </c>
      <c r="O60" s="78"/>
      <c r="P60" s="85">
        <f>IF($J60="","",_xll.BADDPERIODS(_xll.BTODAY(),"Per="&amp;RIGHT($J60,1),"NumberOfPeriods="&amp;LEFT($J60,LEN($J60)-1),"CDR="&amp;$C$68))</f>
        <v>47771</v>
      </c>
    </row>
    <row r="61" spans="2:16" hidden="1" x14ac:dyDescent="0.25">
      <c r="C61" s="15" t="s">
        <v>203</v>
      </c>
      <c r="G61" s="15" t="s">
        <v>237</v>
      </c>
      <c r="J61" s="80" t="s">
        <v>222</v>
      </c>
      <c r="K61" s="77"/>
      <c r="L61" s="157" t="s">
        <v>328</v>
      </c>
      <c r="M61" s="158"/>
      <c r="N61" s="81" t="str">
        <f>IF($J61="","",_xll.BDP($L61,"PX_LAST"))</f>
        <v>#N/A Invalid Security</v>
      </c>
      <c r="O61" s="77"/>
      <c r="P61" s="82">
        <f>IF($J61="","",_xll.BADDPERIODS(_xll.BTODAY(),"Per="&amp;RIGHT($J61,1),"NumberOfPeriods="&amp;LEFT($J61,LEN($J61)-1),"CDR="&amp;$C$68))</f>
        <v>48136</v>
      </c>
    </row>
    <row r="62" spans="2:16" hidden="1" x14ac:dyDescent="0.25">
      <c r="C62" s="15" t="s">
        <v>204</v>
      </c>
      <c r="G62" s="15" t="s">
        <v>238</v>
      </c>
      <c r="J62" s="83" t="s">
        <v>223</v>
      </c>
      <c r="K62" s="78"/>
      <c r="L62" s="164" t="s">
        <v>328</v>
      </c>
      <c r="M62" s="165"/>
      <c r="N62" s="84" t="str">
        <f>IF($J62="","",_xll.BDP($L62,"PX_LAST"))</f>
        <v>#N/A Invalid Security</v>
      </c>
      <c r="O62" s="78"/>
      <c r="P62" s="85">
        <f>IF($J62="","",_xll.BADDPERIODS(_xll.BTODAY(),"Per="&amp;RIGHT($J62,1),"NumberOfPeriods="&amp;LEFT($J62,LEN($J62)-1),"CDR="&amp;$C$68))</f>
        <v>48502</v>
      </c>
    </row>
    <row r="63" spans="2:16" hidden="1" x14ac:dyDescent="0.25">
      <c r="C63" s="15" t="s">
        <v>205</v>
      </c>
      <c r="G63" s="15" t="s">
        <v>239</v>
      </c>
      <c r="J63" s="80" t="s">
        <v>224</v>
      </c>
      <c r="K63" s="77"/>
      <c r="L63" s="157" t="s">
        <v>328</v>
      </c>
      <c r="M63" s="158"/>
      <c r="N63" s="81" t="str">
        <f>IF($J63="","",_xll.BDP($L63,"PX_LAST"))</f>
        <v>#N/A Invalid Security</v>
      </c>
      <c r="O63" s="77"/>
      <c r="P63" s="95">
        <f>IF($J63="","",_xll.BADDPERIODS(_xll.BTODAY(),"Per="&amp;RIGHT($J63,1),"NumberOfPeriods="&amp;LEFT($J63,LEN($J63)-1),"CDR="&amp;$C$68))</f>
        <v>48869</v>
      </c>
    </row>
    <row r="64" spans="2:16" hidden="1" x14ac:dyDescent="0.25">
      <c r="J64" s="83" t="s">
        <v>225</v>
      </c>
      <c r="K64" s="78"/>
      <c r="L64" s="164" t="s">
        <v>328</v>
      </c>
      <c r="M64" s="165"/>
      <c r="N64" s="84" t="str">
        <f>IF($J64="","",_xll.BDP($L64,"PX_LAST"))</f>
        <v>#N/A Invalid Security</v>
      </c>
      <c r="O64" s="78"/>
      <c r="P64" s="85">
        <f>IF($J64="","",_xll.BADDPERIODS(_xll.BTODAY(),"Per="&amp;RIGHT($J64,1),"NumberOfPeriods="&amp;LEFT($J64,LEN($J64)-1),"CDR="&amp;$C$68))</f>
        <v>49233</v>
      </c>
    </row>
    <row r="65" spans="3:16" hidden="1" x14ac:dyDescent="0.25">
      <c r="J65" s="80" t="s">
        <v>226</v>
      </c>
      <c r="K65" s="77"/>
      <c r="L65" s="157" t="s">
        <v>328</v>
      </c>
      <c r="M65" s="158"/>
      <c r="N65" s="81" t="str">
        <f>IF($J65="","",_xll.BDP($L65,"PX_LAST"))</f>
        <v>#N/A Invalid Security</v>
      </c>
      <c r="O65" s="77"/>
      <c r="P65" s="82">
        <f>IF($J65="","",_xll.BADDPERIODS(_xll.BTODAY(),"Per="&amp;RIGHT($J65,1),"NumberOfPeriods="&amp;LEFT($J65,LEN($J65)-1),"CDR="&amp;$C$68))</f>
        <v>49597</v>
      </c>
    </row>
    <row r="66" spans="3:16" hidden="1" x14ac:dyDescent="0.25">
      <c r="J66" s="83" t="s">
        <v>227</v>
      </c>
      <c r="K66" s="78"/>
      <c r="L66" s="164" t="s">
        <v>328</v>
      </c>
      <c r="M66" s="165"/>
      <c r="N66" s="84" t="str">
        <f>IF($J66="","",_xll.BDP($L66,"PX_LAST"))</f>
        <v>#N/A Invalid Security</v>
      </c>
      <c r="O66" s="78"/>
      <c r="P66" s="85">
        <f>IF($J66="","",_xll.BADDPERIODS(_xll.BTODAY(),"Per="&amp;RIGHT($J66,1),"NumberOfPeriods="&amp;LEFT($J66,LEN($J66)-1),"CDR="&amp;$C$68))</f>
        <v>50328</v>
      </c>
    </row>
    <row r="67" spans="3:16" hidden="1" x14ac:dyDescent="0.25">
      <c r="C67" s="18" t="str">
        <f>VLOOKUP($D$34,$C$51:$G$56,5,FALSE)</f>
        <v>YCSW0023 Index</v>
      </c>
      <c r="J67" s="80" t="s">
        <v>228</v>
      </c>
      <c r="K67" s="77"/>
      <c r="L67" s="157" t="s">
        <v>328</v>
      </c>
      <c r="M67" s="158"/>
      <c r="N67" s="81" t="str">
        <f>IF($J67="","",_xll.BDP($L67,"PX_LAST"))</f>
        <v>#N/A Invalid Security</v>
      </c>
      <c r="O67" s="77"/>
      <c r="P67" s="82">
        <f>IF($J67="","",_xll.BADDPERIODS(_xll.BTODAY(),"Per="&amp;RIGHT($J67,1),"NumberOfPeriods="&amp;LEFT($J67,LEN($J67)-1),"CDR="&amp;$C$68))</f>
        <v>51424</v>
      </c>
    </row>
    <row r="68" spans="3:16" hidden="1" x14ac:dyDescent="0.25">
      <c r="C68" s="18" t="str">
        <f>VLOOKUP($D$34,$C$58:$G$63,5,FALSE)</f>
        <v>US</v>
      </c>
      <c r="J68" s="83" t="s">
        <v>229</v>
      </c>
      <c r="K68" s="78"/>
      <c r="L68" s="164" t="s">
        <v>328</v>
      </c>
      <c r="M68" s="165"/>
      <c r="N68" s="84" t="str">
        <f>IF($J68="","",_xll.BDP($L68,"PX_LAST"))</f>
        <v>#N/A Invalid Security</v>
      </c>
      <c r="O68" s="78"/>
      <c r="P68" s="85">
        <f>IF($J68="","",_xll.BADDPERIODS(_xll.BTODAY(),"Per="&amp;RIGHT($J68,1),"NumberOfPeriods="&amp;LEFT($J68,LEN($J68)-1),"CDR="&amp;$C$68))</f>
        <v>53251</v>
      </c>
    </row>
    <row r="69" spans="3:16" hidden="1" x14ac:dyDescent="0.25">
      <c r="C69" s="5" t="str">
        <f>_xll.BDP($C$67,"LONG_COMP_NAME")</f>
        <v>US Dollar Swaps (30/360, S/A) Curve</v>
      </c>
      <c r="J69" s="80" t="s">
        <v>230</v>
      </c>
      <c r="K69" s="77"/>
      <c r="L69" s="157" t="s">
        <v>328</v>
      </c>
      <c r="M69" s="158"/>
      <c r="N69" s="81" t="str">
        <f>IF($J69="","",_xll.BDP($L69,"PX_LAST"))</f>
        <v>#N/A Invalid Security</v>
      </c>
      <c r="O69" s="77"/>
      <c r="P69" s="82">
        <f>IF($J69="","",_xll.BADDPERIODS(_xll.BTODAY(),"Per="&amp;RIGHT($J69,1),"NumberOfPeriods="&amp;LEFT($J69,LEN($J69)-1),"CDR="&amp;$C$68))</f>
        <v>55078</v>
      </c>
    </row>
    <row r="70" spans="3:16" hidden="1" x14ac:dyDescent="0.25">
      <c r="J70" s="83" t="s">
        <v>231</v>
      </c>
      <c r="K70" s="78"/>
      <c r="L70" s="164" t="s">
        <v>328</v>
      </c>
      <c r="M70" s="165"/>
      <c r="N70" s="84" t="str">
        <f>IF($J70="","",_xll.BDP($L70,"PX_LAST"))</f>
        <v>#N/A Invalid Security</v>
      </c>
      <c r="O70" s="78"/>
      <c r="P70" s="85">
        <f>IF($J70="","",_xll.BADDPERIODS(_xll.BTODAY(),"Per="&amp;RIGHT($J70,1),"NumberOfPeriods="&amp;LEFT($J70,LEN($J70)-1),"CDR="&amp;$C$68))</f>
        <v>56902</v>
      </c>
    </row>
    <row r="71" spans="3:16" hidden="1" x14ac:dyDescent="0.25">
      <c r="J71" s="80" t="s">
        <v>232</v>
      </c>
      <c r="K71" s="77"/>
      <c r="L71" s="157" t="s">
        <v>328</v>
      </c>
      <c r="M71" s="158"/>
      <c r="N71" s="81" t="str">
        <f>IF($J71="","",_xll.BDP($L71,"PX_LAST"))</f>
        <v>#N/A Invalid Security</v>
      </c>
      <c r="O71" s="77"/>
      <c r="P71" s="82">
        <f>IF($J71="","",_xll.BADDPERIODS(_xll.BTODAY(),"Per="&amp;RIGHT($J71,1),"NumberOfPeriods="&amp;LEFT($J71,LEN($J71)-1),"CDR="&amp;$C$68))</f>
        <v>60555</v>
      </c>
    </row>
    <row r="72" spans="3:16" hidden="1" x14ac:dyDescent="0.25">
      <c r="J72" s="83" t="s">
        <v>233</v>
      </c>
      <c r="K72" s="78"/>
      <c r="L72" s="164" t="s">
        <v>328</v>
      </c>
      <c r="M72" s="165"/>
      <c r="N72" s="84" t="str">
        <f>IF($J72="","",_xll.BDP($L72,"PX_LAST"))</f>
        <v>#N/A Invalid Security</v>
      </c>
      <c r="O72" s="78"/>
      <c r="P72" s="85">
        <f>IF($J72="","",_xll.BADDPERIODS(_xll.BTODAY(),"Per="&amp;RIGHT($J72,1),"NumberOfPeriods="&amp;LEFT($J72,LEN($J72)-1),"CDR="&amp;$C$68))</f>
        <v>64207</v>
      </c>
    </row>
    <row r="73" spans="3:16" hidden="1" x14ac:dyDescent="0.25">
      <c r="J73" s="80"/>
      <c r="K73" s="77"/>
      <c r="L73" s="157"/>
      <c r="M73" s="158"/>
      <c r="N73" s="81" t="str">
        <f>IF($J73="","",_xll.BDP($L73,"PX_LAST"))</f>
        <v/>
      </c>
      <c r="O73" s="77"/>
      <c r="P73" s="82" t="str">
        <f>IF($J73="","",_xll.BADDPERIODS(_xll.BTODAY(),"Per="&amp;RIGHT($J73,1),"NumberOfPeriods="&amp;LEFT($J73,LEN($J73)-1),"CDR="&amp;$C$68))</f>
        <v/>
      </c>
    </row>
    <row r="74" spans="3:16" hidden="1" x14ac:dyDescent="0.25">
      <c r="J74" s="83"/>
      <c r="K74" s="78"/>
      <c r="L74" s="164"/>
      <c r="M74" s="165"/>
      <c r="N74" s="84" t="str">
        <f>IF($J74="","",_xll.BDP($L74,"PX_LAST"))</f>
        <v/>
      </c>
      <c r="O74" s="78"/>
      <c r="P74" s="85" t="str">
        <f>IF($J74="","",_xll.BADDPERIODS(_xll.BTODAY(),"Per="&amp;RIGHT($J74,1),"NumberOfPeriods="&amp;LEFT($J74,LEN($J74)-1),"CDR="&amp;$C$68))</f>
        <v/>
      </c>
    </row>
    <row r="75" spans="3:16" hidden="1" x14ac:dyDescent="0.25">
      <c r="J75" s="80"/>
      <c r="K75" s="77"/>
      <c r="L75" s="157"/>
      <c r="M75" s="158"/>
      <c r="N75" s="81" t="str">
        <f>IF($J75="","",_xll.BDP($L75,"PX_LAST"))</f>
        <v/>
      </c>
      <c r="O75" s="77"/>
      <c r="P75" s="82" t="str">
        <f>IF($J75="","",_xll.BADDPERIODS(_xll.BTODAY(),"Per="&amp;RIGHT($J75,1),"NumberOfPeriods="&amp;LEFT($J75,LEN($J75)-1),"CDR="&amp;$C$68))</f>
        <v/>
      </c>
    </row>
    <row r="76" spans="3:16" hidden="1" x14ac:dyDescent="0.25">
      <c r="J76" s="83"/>
      <c r="K76" s="78"/>
      <c r="L76" s="164"/>
      <c r="M76" s="165"/>
      <c r="N76" s="84" t="str">
        <f>IF($J76="","",_xll.BDP($L76,"PX_LAST"))</f>
        <v/>
      </c>
      <c r="O76" s="78"/>
      <c r="P76" s="85" t="str">
        <f>IF($J76="","",_xll.BADDPERIODS(_xll.BTODAY(),"Per="&amp;RIGHT($J76,1),"NumberOfPeriods="&amp;LEFT($J76,LEN($J76)-1),"CDR="&amp;$C$68))</f>
        <v/>
      </c>
    </row>
    <row r="77" spans="3:16" hidden="1" x14ac:dyDescent="0.25">
      <c r="J77" s="80"/>
      <c r="K77" s="77"/>
      <c r="L77" s="157"/>
      <c r="M77" s="158"/>
      <c r="N77" s="81" t="str">
        <f>IF($J77="","",_xll.BDP($L77,"PX_LAST"))</f>
        <v/>
      </c>
      <c r="O77" s="77"/>
      <c r="P77" s="95" t="str">
        <f>IF($J77="","",_xll.BADDPERIODS(_xll.BTODAY(),"Per="&amp;RIGHT($J77,1),"NumberOfPeriods="&amp;LEFT($J77,LEN($J77)-1),"CDR="&amp;$C$68))</f>
        <v/>
      </c>
    </row>
    <row r="78" spans="3:16" hidden="1" x14ac:dyDescent="0.25">
      <c r="J78" s="83"/>
      <c r="K78" s="78"/>
      <c r="L78" s="164"/>
      <c r="M78" s="165"/>
      <c r="N78" s="84" t="str">
        <f>IF($J78="","",_xll.BDP($L78,"PX_LAST"))</f>
        <v/>
      </c>
      <c r="O78" s="78"/>
      <c r="P78" s="85" t="str">
        <f>IF($J78="","",_xll.BADDPERIODS(_xll.BTODAY(),"Per="&amp;RIGHT($J78,1),"NumberOfPeriods="&amp;LEFT($J78,LEN($J78)-1),"CDR="&amp;$C$68))</f>
        <v/>
      </c>
    </row>
    <row r="79" spans="3:16" hidden="1" x14ac:dyDescent="0.25">
      <c r="J79" s="80"/>
      <c r="K79" s="77"/>
      <c r="L79" s="157"/>
      <c r="M79" s="158"/>
      <c r="N79" s="81" t="str">
        <f>IF($J79="","",_xll.BDP($L79,"PX_LAST"))</f>
        <v/>
      </c>
      <c r="O79" s="77"/>
      <c r="P79" s="82" t="str">
        <f>IF($J79="","",_xll.BADDPERIODS(_xll.BTODAY(),"Per="&amp;RIGHT($J79,1),"NumberOfPeriods="&amp;LEFT($J79,LEN($J79)-1),"CDR="&amp;$C$68))</f>
        <v/>
      </c>
    </row>
    <row r="80" spans="3:16" hidden="1" x14ac:dyDescent="0.25">
      <c r="J80" s="83"/>
      <c r="K80" s="78"/>
      <c r="L80" s="164"/>
      <c r="M80" s="165"/>
      <c r="N80" s="84" t="str">
        <f>IF($J80="","",_xll.BDP($L80,"PX_LAST"))</f>
        <v/>
      </c>
      <c r="O80" s="78"/>
      <c r="P80" s="85" t="str">
        <f>IF($J80="","",_xll.BADDPERIODS(_xll.BTODAY(),"Per="&amp;RIGHT($J80,1),"NumberOfPeriods="&amp;LEFT($J80,LEN($J80)-1),"CDR="&amp;$C$68))</f>
        <v/>
      </c>
    </row>
    <row r="81" spans="2:16" hidden="1" x14ac:dyDescent="0.25">
      <c r="J81" s="80"/>
      <c r="K81" s="77"/>
      <c r="L81" s="157"/>
      <c r="M81" s="158"/>
      <c r="N81" s="81" t="str">
        <f>IF($J81="","",_xll.BDP($L81,"PX_LAST"))</f>
        <v/>
      </c>
      <c r="O81" s="77"/>
      <c r="P81" s="95" t="str">
        <f>IF($J81="","",_xll.BADDPERIODS(_xll.BTODAY(),"Per="&amp;RIGHT($J81,1),"NumberOfPeriods="&amp;LEFT($J81,LEN($J81)-1),"CDR="&amp;$C$68))</f>
        <v/>
      </c>
    </row>
    <row r="82" spans="2:16" hidden="1" x14ac:dyDescent="0.25">
      <c r="J82" s="83"/>
      <c r="K82" s="78"/>
      <c r="L82" s="164"/>
      <c r="M82" s="165"/>
      <c r="N82" s="84" t="str">
        <f>IF($J82="","",_xll.BDP($L82,"PX_LAST"))</f>
        <v/>
      </c>
      <c r="O82" s="78"/>
      <c r="P82" s="85" t="str">
        <f>IF($J82="","",_xll.BADDPERIODS(_xll.BTODAY(),"Per="&amp;RIGHT($J82,1),"NumberOfPeriods="&amp;LEFT($J82,LEN($J82)-1),"CDR="&amp;$C$68))</f>
        <v/>
      </c>
    </row>
    <row r="83" spans="2:16" hidden="1" x14ac:dyDescent="0.25">
      <c r="J83" s="80"/>
      <c r="K83" s="77"/>
      <c r="L83" s="157"/>
      <c r="M83" s="158"/>
      <c r="N83" s="81" t="str">
        <f>IF($J83="","",_xll.BDP($L83,"PX_LAST"))</f>
        <v/>
      </c>
      <c r="O83" s="77"/>
      <c r="P83" s="82" t="str">
        <f>IF($J83="","",_xll.BADDPERIODS(_xll.BTODAY(),"Per="&amp;RIGHT($J83,1),"NumberOfPeriods="&amp;LEFT($J83,LEN($J83)-1),"CDR="&amp;$C$68))</f>
        <v/>
      </c>
    </row>
    <row r="84" spans="2:16" hidden="1" x14ac:dyDescent="0.25">
      <c r="J84" s="86"/>
      <c r="K84" s="79"/>
      <c r="L84" s="159"/>
      <c r="M84" s="160"/>
      <c r="N84" s="87" t="str">
        <f>IF($J84="","",_xll.BDP($L84,"PX_LAST"))</f>
        <v/>
      </c>
      <c r="O84" s="79"/>
      <c r="P84" s="97" t="str">
        <f>IF($J84="","",_xll.BADDPERIODS(_xll.BTODAY(),"Per="&amp;RIGHT($J84,1),"NumberOfPeriods="&amp;LEFT($J84,LEN($J84)-1),"CDR="&amp;$C$68))</f>
        <v/>
      </c>
    </row>
    <row r="85" spans="2:16" hidden="1" x14ac:dyDescent="0.25">
      <c r="L85" s="161"/>
      <c r="M85" s="161"/>
      <c r="N85" s="16" t="str">
        <f>IF($J85="","",_xll.BDP($L85,"PX_LAST"))</f>
        <v/>
      </c>
      <c r="P85" s="17" t="str">
        <f>IF($J85="","",_xll.BADDPERIODS(_xll.BTODAY(),"Per="&amp;RIGHT($J85,1),"NumberOfPeriods="&amp;LEFT($J85,LEN($J85)-1),"CDR="&amp;$C$68))</f>
        <v/>
      </c>
    </row>
    <row r="86" spans="2:16" hidden="1" x14ac:dyDescent="0.25"/>
    <row r="87" spans="2:16" hidden="1" x14ac:dyDescent="0.25">
      <c r="B87" s="154" t="s">
        <v>244</v>
      </c>
      <c r="C87" s="155"/>
      <c r="D87" s="155"/>
      <c r="E87" s="155"/>
      <c r="F87" s="155"/>
      <c r="G87" s="155"/>
      <c r="H87" s="155"/>
      <c r="I87" s="155"/>
      <c r="J87" s="155"/>
      <c r="K87" s="155"/>
      <c r="L87" s="155"/>
      <c r="M87" s="155"/>
      <c r="N87" s="155"/>
      <c r="O87" s="155"/>
      <c r="P87" s="156"/>
    </row>
    <row r="88" spans="2:16" ht="15" hidden="1" customHeight="1" x14ac:dyDescent="0.25"/>
    <row r="89" spans="2:16" hidden="1" x14ac:dyDescent="0.25">
      <c r="J89" s="108" t="s">
        <v>240</v>
      </c>
      <c r="K89" s="109"/>
      <c r="L89" s="144" t="s">
        <v>245</v>
      </c>
      <c r="M89" s="145"/>
      <c r="N89" s="110" t="s">
        <v>242</v>
      </c>
    </row>
    <row r="90" spans="2:16" hidden="1" x14ac:dyDescent="0.25">
      <c r="C90" s="15" t="s">
        <v>256</v>
      </c>
      <c r="J90" s="104" t="s">
        <v>215</v>
      </c>
      <c r="K90" s="105"/>
      <c r="L90" s="162" t="e">
        <f>IF(ISERROR(_xll.BDP($D$36,$C90)*1),NA(),_xll.BDP($D$36,$C90))</f>
        <v>#N/A</v>
      </c>
      <c r="M90" s="163"/>
      <c r="N90" s="107">
        <f>_xll.BADDPERIODS(_xll.BTODAY(),"Per="&amp;RIGHT($J90,1),"NumberOfPeriods="&amp;LEFT($J90,LEN($J90)-1),"CDR="&amp;$C$68)</f>
        <v>46127</v>
      </c>
    </row>
    <row r="91" spans="2:16" hidden="1" x14ac:dyDescent="0.25">
      <c r="C91" s="15" t="s">
        <v>246</v>
      </c>
      <c r="J91" s="80" t="s">
        <v>217</v>
      </c>
      <c r="K91" s="77"/>
      <c r="L91" s="146" t="e">
        <f>IF(ISERROR(_xll.BDP($D$36,$C91)*1),NA(),_xll.BDP($D$36,$C91))</f>
        <v>#N/A</v>
      </c>
      <c r="M91" s="147"/>
      <c r="N91" s="82">
        <f>_xll.BADDPERIODS(_xll.BTODAY(),"Per="&amp;RIGHT($J91,1),"NumberOfPeriods="&amp;LEFT($J91,LEN($J91)-1),"CDR="&amp;$C$68)</f>
        <v>46310</v>
      </c>
    </row>
    <row r="92" spans="2:16" hidden="1" x14ac:dyDescent="0.25">
      <c r="C92" s="15" t="s">
        <v>247</v>
      </c>
      <c r="J92" s="83" t="s">
        <v>218</v>
      </c>
      <c r="K92" s="78"/>
      <c r="L92" s="148" t="e">
        <f>IF(ISERROR(_xll.BDP($D$36,$C92)*1),NA(),_xll.BDP($D$36,$C92))</f>
        <v>#N/A</v>
      </c>
      <c r="M92" s="149"/>
      <c r="N92" s="85">
        <f>_xll.BADDPERIODS(_xll.BTODAY(),"Per="&amp;RIGHT($J92,1),"NumberOfPeriods="&amp;LEFT($J92,LEN($J92)-1),"CDR="&amp;$C$68)</f>
        <v>46675</v>
      </c>
    </row>
    <row r="93" spans="2:16" hidden="1" x14ac:dyDescent="0.25">
      <c r="C93" s="15" t="s">
        <v>248</v>
      </c>
      <c r="J93" s="80" t="s">
        <v>219</v>
      </c>
      <c r="K93" s="77"/>
      <c r="L93" s="146" t="e">
        <f>IF(ISERROR(_xll.BDP($D$36,$C93)*1),NA(),_xll.BDP($D$36,$C93))</f>
        <v>#N/A</v>
      </c>
      <c r="M93" s="147"/>
      <c r="N93" s="82">
        <f>_xll.BADDPERIODS(_xll.BTODAY(),"Per="&amp;RIGHT($J93,1),"NumberOfPeriods="&amp;LEFT($J93,LEN($J93)-1),"CDR="&amp;$C$68)</f>
        <v>47042</v>
      </c>
      <c r="P93" s="19"/>
    </row>
    <row r="94" spans="2:16" hidden="1" x14ac:dyDescent="0.25">
      <c r="C94" s="15" t="s">
        <v>249</v>
      </c>
      <c r="J94" s="83" t="s">
        <v>220</v>
      </c>
      <c r="K94" s="78"/>
      <c r="L94" s="148" t="e">
        <f>IF(ISERROR(_xll.BDP($D$36,$C94)*1),NA(),_xll.BDP($D$36,$C94))</f>
        <v>#N/A</v>
      </c>
      <c r="M94" s="149"/>
      <c r="N94" s="85">
        <f>_xll.BADDPERIODS(_xll.BTODAY(),"Per="&amp;RIGHT($J94,1),"NumberOfPeriods="&amp;LEFT($J94,LEN($J94)-1),"CDR="&amp;$C$68)</f>
        <v>47406</v>
      </c>
    </row>
    <row r="95" spans="2:16" hidden="1" x14ac:dyDescent="0.25">
      <c r="C95" s="15" t="s">
        <v>250</v>
      </c>
      <c r="J95" s="80" t="s">
        <v>221</v>
      </c>
      <c r="K95" s="77"/>
      <c r="L95" s="146" t="e">
        <f>IF(ISERROR(_xll.BDP($D$36,$C95)*1),NA(),_xll.BDP($D$36,$C95))</f>
        <v>#N/A</v>
      </c>
      <c r="M95" s="147"/>
      <c r="N95" s="82">
        <f>_xll.BADDPERIODS(_xll.BTODAY(),"Per="&amp;RIGHT($J95,1),"NumberOfPeriods="&amp;LEFT($J95,LEN($J95)-1),"CDR="&amp;$C$68)</f>
        <v>47771</v>
      </c>
    </row>
    <row r="96" spans="2:16" hidden="1" x14ac:dyDescent="0.25">
      <c r="C96" s="15" t="s">
        <v>251</v>
      </c>
      <c r="J96" s="83" t="s">
        <v>222</v>
      </c>
      <c r="K96" s="78"/>
      <c r="L96" s="148" t="e">
        <f>IF(ISERROR(_xll.BDP($D$36,$C96)*1),NA(),_xll.BDP($D$36,$C96))</f>
        <v>#N/A</v>
      </c>
      <c r="M96" s="149"/>
      <c r="N96" s="85">
        <f>_xll.BADDPERIODS(_xll.BTODAY(),"Per="&amp;RIGHT($J96,1),"NumberOfPeriods="&amp;LEFT($J96,LEN($J96)-1),"CDR="&amp;$C$68)</f>
        <v>48136</v>
      </c>
    </row>
    <row r="97" spans="2:16" hidden="1" x14ac:dyDescent="0.25">
      <c r="C97" s="15" t="s">
        <v>252</v>
      </c>
      <c r="J97" s="80" t="s">
        <v>223</v>
      </c>
      <c r="K97" s="77"/>
      <c r="L97" s="146" t="e">
        <f>IF(ISERROR(_xll.BDP($D$36,$C97)*1),NA(),_xll.BDP($D$36,$C97))</f>
        <v>#N/A</v>
      </c>
      <c r="M97" s="147"/>
      <c r="N97" s="82">
        <f>_xll.BADDPERIODS(_xll.BTODAY(),"Per="&amp;RIGHT($J97,1),"NumberOfPeriods="&amp;LEFT($J97,LEN($J97)-1),"CDR="&amp;$C$68)</f>
        <v>48502</v>
      </c>
    </row>
    <row r="98" spans="2:16" hidden="1" x14ac:dyDescent="0.25">
      <c r="C98" s="15" t="s">
        <v>253</v>
      </c>
      <c r="J98" s="83" t="s">
        <v>224</v>
      </c>
      <c r="K98" s="78"/>
      <c r="L98" s="148" t="e">
        <f>IF(ISERROR(_xll.BDP($D$36,$C98)*1),NA(),_xll.BDP($D$36,$C98))</f>
        <v>#N/A</v>
      </c>
      <c r="M98" s="149"/>
      <c r="N98" s="85">
        <f>_xll.BADDPERIODS(_xll.BTODAY(),"Per="&amp;RIGHT($J98,1),"NumberOfPeriods="&amp;LEFT($J98,LEN($J98)-1),"CDR="&amp;$C$68)</f>
        <v>48869</v>
      </c>
    </row>
    <row r="99" spans="2:16" hidden="1" x14ac:dyDescent="0.25">
      <c r="C99" s="15" t="s">
        <v>254</v>
      </c>
      <c r="J99" s="80" t="s">
        <v>225</v>
      </c>
      <c r="K99" s="77"/>
      <c r="L99" s="146" t="e">
        <f>IF(ISERROR(_xll.BDP($D$36,$C99)*1),NA(),_xll.BDP($D$36,$C99))</f>
        <v>#N/A</v>
      </c>
      <c r="M99" s="147"/>
      <c r="N99" s="82">
        <f>_xll.BADDPERIODS(_xll.BTODAY(),"Per="&amp;RIGHT($J99,1),"NumberOfPeriods="&amp;LEFT($J99,LEN($J99)-1),"CDR="&amp;$C$68)</f>
        <v>49233</v>
      </c>
    </row>
    <row r="100" spans="2:16" hidden="1" x14ac:dyDescent="0.25">
      <c r="C100" s="15" t="s">
        <v>255</v>
      </c>
      <c r="J100" s="86" t="s">
        <v>226</v>
      </c>
      <c r="K100" s="79"/>
      <c r="L100" s="150" t="e">
        <f>IF(ISERROR(_xll.BDP($D$36,$C100)*1),NA(),_xll.BDP($D$36,$C100))</f>
        <v>#N/A</v>
      </c>
      <c r="M100" s="151"/>
      <c r="N100" s="88">
        <f>_xll.BADDPERIODS(_xll.BTODAY(),"Per="&amp;RIGHT($J100,1),"NumberOfPeriods="&amp;LEFT($J100,LEN($J100)-1),"CDR="&amp;$C$68)</f>
        <v>49597</v>
      </c>
    </row>
    <row r="101" spans="2:16" hidden="1" x14ac:dyDescent="0.25"/>
    <row r="102" spans="2:16" hidden="1" x14ac:dyDescent="0.25"/>
    <row r="103" spans="2:16" hidden="1" x14ac:dyDescent="0.25">
      <c r="J103" s="19"/>
    </row>
    <row r="104" spans="2:16" hidden="1" x14ac:dyDescent="0.25">
      <c r="J104" s="19"/>
    </row>
    <row r="105" spans="2:16" hidden="1" x14ac:dyDescent="0.25"/>
    <row r="106" spans="2:16" hidden="1" x14ac:dyDescent="0.25"/>
    <row r="107" spans="2:16" hidden="1" x14ac:dyDescent="0.25"/>
    <row r="108" spans="2:16" hidden="1" x14ac:dyDescent="0.25"/>
    <row r="109" spans="2:16" hidden="1" x14ac:dyDescent="0.25"/>
    <row r="110" spans="2:16" hidden="1" x14ac:dyDescent="0.25"/>
    <row r="111" spans="2:16" hidden="1" x14ac:dyDescent="0.25"/>
    <row r="112" spans="2:16" hidden="1" x14ac:dyDescent="0.25">
      <c r="B112" s="154" t="s">
        <v>257</v>
      </c>
      <c r="C112" s="155"/>
      <c r="D112" s="155"/>
      <c r="E112" s="155"/>
      <c r="F112" s="155"/>
      <c r="G112" s="155"/>
      <c r="H112" s="155"/>
      <c r="I112" s="155"/>
      <c r="J112" s="155"/>
      <c r="K112" s="155"/>
      <c r="L112" s="155"/>
      <c r="M112" s="155"/>
      <c r="N112" s="155"/>
      <c r="O112" s="155"/>
      <c r="P112" s="156"/>
    </row>
    <row r="113" spans="10:12" ht="15" hidden="1" customHeight="1" x14ac:dyDescent="0.25"/>
    <row r="114" spans="10:12" hidden="1" x14ac:dyDescent="0.25">
      <c r="J114" s="108" t="s">
        <v>258</v>
      </c>
      <c r="K114" s="109"/>
      <c r="L114" s="110" t="s">
        <v>259</v>
      </c>
    </row>
    <row r="115" spans="10:12" hidden="1" x14ac:dyDescent="0.25">
      <c r="J115" s="111" t="str">
        <f>_xll.BDS($D$36,"BDVD_PR_EX_DATES_AND_DVD_AMOUNTS","EndCol=1")</f>
        <v>#N/A Field Not Applicable</v>
      </c>
      <c r="K115" s="112"/>
      <c r="L115" s="113" t="str">
        <f>_xll.BDS($D$36,"BDVD_PR_EX_DATES_AND_DVD_AMOUNTS","StartCol=2","EndCol=2")</f>
        <v>#N/A Field Not Applicable</v>
      </c>
    </row>
    <row r="116" spans="10:12" hidden="1" x14ac:dyDescent="0.25">
      <c r="J116" s="89"/>
      <c r="K116" s="78"/>
      <c r="L116" s="90"/>
    </row>
    <row r="117" spans="10:12" hidden="1" x14ac:dyDescent="0.25">
      <c r="J117" s="91"/>
      <c r="K117" s="77"/>
      <c r="L117" s="92"/>
    </row>
    <row r="118" spans="10:12" hidden="1" x14ac:dyDescent="0.25">
      <c r="J118" s="89"/>
      <c r="K118" s="78"/>
      <c r="L118" s="90"/>
    </row>
    <row r="119" spans="10:12" hidden="1" x14ac:dyDescent="0.25">
      <c r="J119" s="91"/>
      <c r="K119" s="77"/>
      <c r="L119" s="92"/>
    </row>
    <row r="120" spans="10:12" hidden="1" x14ac:dyDescent="0.25">
      <c r="J120" s="89"/>
      <c r="K120" s="78"/>
      <c r="L120" s="90"/>
    </row>
    <row r="121" spans="10:12" hidden="1" x14ac:dyDescent="0.25">
      <c r="J121" s="91"/>
      <c r="K121" s="77"/>
      <c r="L121" s="92"/>
    </row>
    <row r="122" spans="10:12" hidden="1" x14ac:dyDescent="0.25">
      <c r="J122" s="89"/>
      <c r="K122" s="78"/>
      <c r="L122" s="90"/>
    </row>
    <row r="123" spans="10:12" hidden="1" x14ac:dyDescent="0.25">
      <c r="J123" s="91"/>
      <c r="K123" s="77"/>
      <c r="L123" s="92"/>
    </row>
    <row r="124" spans="10:12" hidden="1" x14ac:dyDescent="0.25">
      <c r="J124" s="89"/>
      <c r="K124" s="78"/>
      <c r="L124" s="90"/>
    </row>
    <row r="125" spans="10:12" hidden="1" x14ac:dyDescent="0.25">
      <c r="J125" s="91"/>
      <c r="K125" s="77"/>
      <c r="L125" s="92"/>
    </row>
    <row r="126" spans="10:12" hidden="1" x14ac:dyDescent="0.25">
      <c r="J126" s="89"/>
      <c r="K126" s="78"/>
      <c r="L126" s="90"/>
    </row>
    <row r="127" spans="10:12" hidden="1" x14ac:dyDescent="0.25">
      <c r="J127" s="91"/>
      <c r="K127" s="77"/>
      <c r="L127" s="92"/>
    </row>
    <row r="128" spans="10:12" hidden="1" x14ac:dyDescent="0.25">
      <c r="J128" s="89"/>
      <c r="K128" s="78"/>
      <c r="L128" s="90"/>
    </row>
    <row r="129" spans="2:16" hidden="1" x14ac:dyDescent="0.25">
      <c r="J129" s="91"/>
      <c r="K129" s="77"/>
      <c r="L129" s="92"/>
    </row>
    <row r="130" spans="2:16" hidden="1" x14ac:dyDescent="0.25">
      <c r="J130" s="93"/>
      <c r="K130" s="79"/>
      <c r="L130" s="94"/>
    </row>
    <row r="131" spans="2:16" hidden="1" x14ac:dyDescent="0.25"/>
    <row r="132" spans="2:16" hidden="1" x14ac:dyDescent="0.25"/>
    <row r="133" spans="2:16" hidden="1" x14ac:dyDescent="0.25"/>
    <row r="134" spans="2:16" hidden="1" x14ac:dyDescent="0.25"/>
    <row r="135" spans="2:16" hidden="1" x14ac:dyDescent="0.25"/>
    <row r="136" spans="2:16" hidden="1" x14ac:dyDescent="0.25"/>
    <row r="137" spans="2:16" hidden="1" x14ac:dyDescent="0.25">
      <c r="B137" s="154" t="s">
        <v>95</v>
      </c>
      <c r="C137" s="155"/>
      <c r="D137" s="155"/>
      <c r="E137" s="155"/>
      <c r="F137" s="155"/>
      <c r="G137" s="155"/>
      <c r="H137" s="155"/>
      <c r="I137" s="155"/>
      <c r="J137" s="155"/>
      <c r="K137" s="155"/>
      <c r="L137" s="155"/>
      <c r="M137" s="155"/>
      <c r="N137" s="155"/>
      <c r="O137" s="155"/>
      <c r="P137" s="156"/>
    </row>
    <row r="138" spans="2:16" ht="15" hidden="1" customHeight="1" x14ac:dyDescent="0.25"/>
    <row r="139" spans="2:16" hidden="1" x14ac:dyDescent="0.25">
      <c r="C139" s="5" t="str">
        <f>_xll.BDP($D$36,"TICKER_AND_EXCH_CODE")</f>
        <v>ABNB US</v>
      </c>
      <c r="J139" s="108" t="s">
        <v>240</v>
      </c>
      <c r="K139" s="109"/>
      <c r="L139" s="144" t="s">
        <v>260</v>
      </c>
      <c r="M139" s="145"/>
      <c r="N139" s="110" t="s">
        <v>261</v>
      </c>
    </row>
    <row r="140" spans="2:16" hidden="1" x14ac:dyDescent="0.25">
      <c r="C140" s="5" t="str">
        <f>$C$139&amp;" "&amp;$J140&amp;" 100C VOL BVOL Equity"</f>
        <v>ABNB US 1M 100C VOL BVOL Equity</v>
      </c>
      <c r="J140" s="104" t="s">
        <v>212</v>
      </c>
      <c r="K140" s="105"/>
      <c r="L140" s="152" t="str">
        <f>_xll.BDP($C140,"PX_LAST")</f>
        <v>#N/A Invalid Security</v>
      </c>
      <c r="M140" s="153"/>
      <c r="N140" s="114">
        <f>_xll.BADDPERIODS(_xll.BTODAY(),"Per="&amp;RIGHT($J140,1),"NumberOfPeriods="&amp;LEFT($J140,LEN($J140)-1),"CDR="&amp;$C$68)</f>
        <v>45978</v>
      </c>
    </row>
    <row r="141" spans="2:16" hidden="1" x14ac:dyDescent="0.25">
      <c r="C141" s="5" t="str">
        <f t="shared" ref="C141:C154" si="1">$C$139&amp;" "&amp;$J141&amp;" 100C VOL BVOL Equity"</f>
        <v>ABNB US 2M 100C VOL BVOL Equity</v>
      </c>
      <c r="J141" s="80" t="s">
        <v>213</v>
      </c>
      <c r="K141" s="77"/>
      <c r="L141" s="140" t="str">
        <f>_xll.BDP($C141,"PX_LAST")</f>
        <v>#N/A Invalid Security</v>
      </c>
      <c r="M141" s="141"/>
      <c r="N141" s="95">
        <f>_xll.BADDPERIODS(_xll.BTODAY(),"Per="&amp;RIGHT($J141,1),"NumberOfPeriods="&amp;LEFT($J141,LEN($J141)-1),"CDR="&amp;$C$68)</f>
        <v>46006</v>
      </c>
    </row>
    <row r="142" spans="2:16" hidden="1" x14ac:dyDescent="0.25">
      <c r="C142" s="5" t="str">
        <f t="shared" si="1"/>
        <v>ABNB US 3M 100C VOL BVOL Equity</v>
      </c>
      <c r="J142" s="83" t="s">
        <v>214</v>
      </c>
      <c r="K142" s="78"/>
      <c r="L142" s="138" t="str">
        <f>_xll.BDP($C142,"PX_LAST")</f>
        <v>#N/A Invalid Security</v>
      </c>
      <c r="M142" s="139"/>
      <c r="N142" s="96">
        <f>_xll.BADDPERIODS(_xll.BTODAY(),"Per="&amp;RIGHT($J142,1),"NumberOfPeriods="&amp;LEFT($J142,LEN($J142)-1),"CDR="&amp;$C$68)</f>
        <v>46037</v>
      </c>
    </row>
    <row r="143" spans="2:16" hidden="1" x14ac:dyDescent="0.25">
      <c r="C143" s="5" t="str">
        <f t="shared" si="1"/>
        <v>ABNB US 6M 100C VOL BVOL Equity</v>
      </c>
      <c r="J143" s="80" t="s">
        <v>215</v>
      </c>
      <c r="K143" s="77"/>
      <c r="L143" s="140" t="str">
        <f>_xll.BDP($C143,"PX_LAST")</f>
        <v>#N/A Invalid Security</v>
      </c>
      <c r="M143" s="141"/>
      <c r="N143" s="95">
        <f>_xll.BADDPERIODS(_xll.BTODAY(),"Per="&amp;RIGHT($J143,1),"NumberOfPeriods="&amp;LEFT($J143,LEN($J143)-1),"CDR="&amp;$C$68)</f>
        <v>46127</v>
      </c>
    </row>
    <row r="144" spans="2:16" hidden="1" x14ac:dyDescent="0.25">
      <c r="C144" s="5" t="str">
        <f t="shared" si="1"/>
        <v>ABNB US 1Y 100C VOL BVOL Equity</v>
      </c>
      <c r="J144" s="83" t="s">
        <v>217</v>
      </c>
      <c r="K144" s="78"/>
      <c r="L144" s="138" t="str">
        <f>_xll.BDP($C144,"PX_LAST")</f>
        <v>#N/A Invalid Security</v>
      </c>
      <c r="M144" s="139"/>
      <c r="N144" s="96">
        <f>_xll.BADDPERIODS(_xll.BTODAY(),"Per="&amp;RIGHT($J144,1),"NumberOfPeriods="&amp;LEFT($J144,LEN($J144)-1),"CDR="&amp;$C$68)</f>
        <v>46310</v>
      </c>
    </row>
    <row r="145" spans="3:14" hidden="1" x14ac:dyDescent="0.25">
      <c r="C145" s="5" t="str">
        <f t="shared" si="1"/>
        <v>ABNB US 2Y 100C VOL BVOL Equity</v>
      </c>
      <c r="J145" s="80" t="s">
        <v>218</v>
      </c>
      <c r="K145" s="77"/>
      <c r="L145" s="140" t="str">
        <f>_xll.BDP($C145,"PX_LAST")</f>
        <v>#N/A Invalid Security</v>
      </c>
      <c r="M145" s="141"/>
      <c r="N145" s="95">
        <f>_xll.BADDPERIODS(_xll.BTODAY(),"Per="&amp;RIGHT($J145,1),"NumberOfPeriods="&amp;LEFT($J145,LEN($J145)-1),"CDR="&amp;$C$68)</f>
        <v>46675</v>
      </c>
    </row>
    <row r="146" spans="3:14" hidden="1" x14ac:dyDescent="0.25">
      <c r="C146" s="5" t="str">
        <f t="shared" si="1"/>
        <v>ABNB US 3Y 100C VOL BVOL Equity</v>
      </c>
      <c r="J146" s="83" t="s">
        <v>219</v>
      </c>
      <c r="K146" s="78"/>
      <c r="L146" s="138" t="str">
        <f>_xll.BDP($C146,"PX_LAST")</f>
        <v>#N/A Invalid Security</v>
      </c>
      <c r="M146" s="139"/>
      <c r="N146" s="96">
        <f>_xll.BADDPERIODS(_xll.BTODAY(),"Per="&amp;RIGHT($J146,1),"NumberOfPeriods="&amp;LEFT($J146,LEN($J146)-1),"CDR="&amp;$C$68)</f>
        <v>47042</v>
      </c>
    </row>
    <row r="147" spans="3:14" hidden="1" x14ac:dyDescent="0.25">
      <c r="C147" s="5" t="str">
        <f t="shared" si="1"/>
        <v>ABNB US 4Y 100C VOL BVOL Equity</v>
      </c>
      <c r="J147" s="80" t="s">
        <v>220</v>
      </c>
      <c r="K147" s="77"/>
      <c r="L147" s="140" t="str">
        <f>_xll.BDP($C147,"PX_LAST")</f>
        <v>#N/A Invalid Security</v>
      </c>
      <c r="M147" s="141"/>
      <c r="N147" s="95">
        <f>_xll.BADDPERIODS(_xll.BTODAY(),"Per="&amp;RIGHT($J147,1),"NumberOfPeriods="&amp;LEFT($J147,LEN($J147)-1),"CDR="&amp;$C$68)</f>
        <v>47406</v>
      </c>
    </row>
    <row r="148" spans="3:14" hidden="1" x14ac:dyDescent="0.25">
      <c r="C148" s="5" t="str">
        <f t="shared" si="1"/>
        <v>ABNB US 5Y 100C VOL BVOL Equity</v>
      </c>
      <c r="J148" s="83" t="s">
        <v>221</v>
      </c>
      <c r="K148" s="78"/>
      <c r="L148" s="138" t="str">
        <f>_xll.BDP($C148,"PX_LAST")</f>
        <v>#N/A Invalid Security</v>
      </c>
      <c r="M148" s="139"/>
      <c r="N148" s="96">
        <f>_xll.BADDPERIODS(_xll.BTODAY(),"Per="&amp;RIGHT($J148,1),"NumberOfPeriods="&amp;LEFT($J148,LEN($J148)-1),"CDR="&amp;$C$68)</f>
        <v>47771</v>
      </c>
    </row>
    <row r="149" spans="3:14" hidden="1" x14ac:dyDescent="0.25">
      <c r="C149" s="5" t="str">
        <f t="shared" si="1"/>
        <v>ABNB US 6Y 100C VOL BVOL Equity</v>
      </c>
      <c r="J149" s="80" t="s">
        <v>222</v>
      </c>
      <c r="K149" s="77"/>
      <c r="L149" s="140" t="str">
        <f>_xll.BDP($C149,"PX_LAST")</f>
        <v>#N/A Invalid Security</v>
      </c>
      <c r="M149" s="141"/>
      <c r="N149" s="95">
        <f>_xll.BADDPERIODS(_xll.BTODAY(),"Per="&amp;RIGHT($J149,1),"NumberOfPeriods="&amp;LEFT($J149,LEN($J149)-1),"CDR="&amp;$C$68)</f>
        <v>48136</v>
      </c>
    </row>
    <row r="150" spans="3:14" hidden="1" x14ac:dyDescent="0.25">
      <c r="C150" s="5" t="str">
        <f t="shared" si="1"/>
        <v>ABNB US 7Y 100C VOL BVOL Equity</v>
      </c>
      <c r="J150" s="83" t="s">
        <v>223</v>
      </c>
      <c r="K150" s="78"/>
      <c r="L150" s="138" t="str">
        <f>_xll.BDP($C150,"PX_LAST")</f>
        <v>#N/A Invalid Security</v>
      </c>
      <c r="M150" s="139"/>
      <c r="N150" s="96">
        <f>_xll.BADDPERIODS(_xll.BTODAY(),"Per="&amp;RIGHT($J150,1),"NumberOfPeriods="&amp;LEFT($J150,LEN($J150)-1),"CDR="&amp;$C$68)</f>
        <v>48502</v>
      </c>
    </row>
    <row r="151" spans="3:14" hidden="1" x14ac:dyDescent="0.25">
      <c r="C151" s="5" t="str">
        <f t="shared" si="1"/>
        <v>ABNB US 10Y 100C VOL BVOL Equity</v>
      </c>
      <c r="J151" s="80" t="s">
        <v>226</v>
      </c>
      <c r="K151" s="77"/>
      <c r="L151" s="140" t="str">
        <f>_xll.BDP($C151,"PX_LAST")</f>
        <v>#N/A Invalid Security</v>
      </c>
      <c r="M151" s="141"/>
      <c r="N151" s="95">
        <f>_xll.BADDPERIODS(_xll.BTODAY(),"Per="&amp;RIGHT($J151,1),"NumberOfPeriods="&amp;LEFT($J151,LEN($J151)-1),"CDR="&amp;$C$68)</f>
        <v>49597</v>
      </c>
    </row>
    <row r="152" spans="3:14" hidden="1" x14ac:dyDescent="0.25">
      <c r="C152" s="5" t="str">
        <f t="shared" si="1"/>
        <v>ABNB US 15Y 100C VOL BVOL Equity</v>
      </c>
      <c r="J152" s="83" t="s">
        <v>228</v>
      </c>
      <c r="K152" s="78"/>
      <c r="L152" s="138" t="str">
        <f>_xll.BDP($C152,"PX_LAST")</f>
        <v>#N/A Invalid Security</v>
      </c>
      <c r="M152" s="139"/>
      <c r="N152" s="96">
        <f>_xll.BADDPERIODS(_xll.BTODAY(),"Per="&amp;RIGHT($J152,1),"NumberOfPeriods="&amp;LEFT($J152,LEN($J152)-1),"CDR="&amp;$C$68)</f>
        <v>51424</v>
      </c>
    </row>
    <row r="153" spans="3:14" hidden="1" x14ac:dyDescent="0.25">
      <c r="C153" s="5" t="str">
        <f t="shared" si="1"/>
        <v>ABNB US 20Y 100C VOL BVOL Equity</v>
      </c>
      <c r="J153" s="80" t="s">
        <v>229</v>
      </c>
      <c r="K153" s="77"/>
      <c r="L153" s="140" t="str">
        <f>_xll.BDP($C153,"PX_LAST")</f>
        <v>#N/A Invalid Security</v>
      </c>
      <c r="M153" s="141"/>
      <c r="N153" s="95">
        <f>_xll.BADDPERIODS(_xll.BTODAY(),"Per="&amp;RIGHT($J153,1),"NumberOfPeriods="&amp;LEFT($J153,LEN($J153)-1),"CDR="&amp;$C$68)</f>
        <v>53251</v>
      </c>
    </row>
    <row r="154" spans="3:14" hidden="1" x14ac:dyDescent="0.25">
      <c r="C154" s="5" t="str">
        <f t="shared" si="1"/>
        <v>ABNB US 30Y 100C VOL BVOL Equity</v>
      </c>
      <c r="J154" s="86" t="s">
        <v>231</v>
      </c>
      <c r="K154" s="79"/>
      <c r="L154" s="142" t="str">
        <f>_xll.BDP($C154,"PX_LAST")</f>
        <v>#N/A Invalid Security</v>
      </c>
      <c r="M154" s="143"/>
      <c r="N154" s="97">
        <f>_xll.BADDPERIODS(_xll.BTODAY(),"Per="&amp;RIGHT($J154,1),"NumberOfPeriods="&amp;LEFT($J154,LEN($J154)-1),"CDR="&amp;$C$68)</f>
        <v>56902</v>
      </c>
    </row>
    <row r="155" spans="3:14" hidden="1" x14ac:dyDescent="0.25"/>
    <row r="156" spans="3:14" hidden="1" x14ac:dyDescent="0.25"/>
    <row r="157" spans="3:14" hidden="1" x14ac:dyDescent="0.25"/>
    <row r="158" spans="3:14" hidden="1" x14ac:dyDescent="0.25"/>
    <row r="159" spans="3:14" hidden="1" x14ac:dyDescent="0.25"/>
    <row r="160" spans="3:14" hidden="1" x14ac:dyDescent="0.25"/>
    <row r="161" hidden="1" x14ac:dyDescent="0.25"/>
  </sheetData>
  <mergeCells count="71">
    <mergeCell ref="D7:F7"/>
    <mergeCell ref="L52:M52"/>
    <mergeCell ref="L53:M53"/>
    <mergeCell ref="L54:M54"/>
    <mergeCell ref="L55:M55"/>
    <mergeCell ref="B49:P49"/>
    <mergeCell ref="L56:M56"/>
    <mergeCell ref="B18:P18"/>
    <mergeCell ref="B20:P20"/>
    <mergeCell ref="B32:P32"/>
    <mergeCell ref="L57:M57"/>
    <mergeCell ref="L51:M51"/>
    <mergeCell ref="L58:M58"/>
    <mergeCell ref="L59:M59"/>
    <mergeCell ref="L60:M60"/>
    <mergeCell ref="L61:M61"/>
    <mergeCell ref="L62:M62"/>
    <mergeCell ref="L63:M63"/>
    <mergeCell ref="L64:M64"/>
    <mergeCell ref="L65:M65"/>
    <mergeCell ref="L66:M66"/>
    <mergeCell ref="L67:M67"/>
    <mergeCell ref="L68:M68"/>
    <mergeCell ref="L69:M69"/>
    <mergeCell ref="L70:M70"/>
    <mergeCell ref="L71:M71"/>
    <mergeCell ref="L72:M72"/>
    <mergeCell ref="L73:M73"/>
    <mergeCell ref="L74:M74"/>
    <mergeCell ref="L75:M75"/>
    <mergeCell ref="L76:M76"/>
    <mergeCell ref="L77:M77"/>
    <mergeCell ref="L78:M78"/>
    <mergeCell ref="L79:M79"/>
    <mergeCell ref="L80:M80"/>
    <mergeCell ref="L81:M81"/>
    <mergeCell ref="L82:M82"/>
    <mergeCell ref="L83:M83"/>
    <mergeCell ref="L84:M84"/>
    <mergeCell ref="L85:M85"/>
    <mergeCell ref="L90:M90"/>
    <mergeCell ref="L91:M91"/>
    <mergeCell ref="B87:P87"/>
    <mergeCell ref="L92:M92"/>
    <mergeCell ref="L93:M93"/>
    <mergeCell ref="L94:M94"/>
    <mergeCell ref="L95:M95"/>
    <mergeCell ref="L96:M96"/>
    <mergeCell ref="L97:M97"/>
    <mergeCell ref="L98:M98"/>
    <mergeCell ref="L99:M99"/>
    <mergeCell ref="L100:M100"/>
    <mergeCell ref="L140:M140"/>
    <mergeCell ref="B112:P112"/>
    <mergeCell ref="B137:P137"/>
    <mergeCell ref="L146:M146"/>
    <mergeCell ref="L147:M147"/>
    <mergeCell ref="L154:M154"/>
    <mergeCell ref="L139:M139"/>
    <mergeCell ref="L89:M89"/>
    <mergeCell ref="L148:M148"/>
    <mergeCell ref="L149:M149"/>
    <mergeCell ref="L150:M150"/>
    <mergeCell ref="L151:M151"/>
    <mergeCell ref="L152:M152"/>
    <mergeCell ref="L153:M153"/>
    <mergeCell ref="L141:M141"/>
    <mergeCell ref="L142:M142"/>
    <mergeCell ref="L143:M143"/>
    <mergeCell ref="L144:M144"/>
    <mergeCell ref="L145:M145"/>
  </mergeCells>
  <dataValidations count="1">
    <dataValidation type="list" allowBlank="1" showInputMessage="1" showErrorMessage="1" sqref="D7:F7" xr:uid="{00000000-0002-0000-0100-000000000000}">
      <formula1>BB_SEC_LIST</formula1>
    </dataValidation>
  </dataValidations>
  <hyperlinks>
    <hyperlink ref="H7" location="HELP!D39" display="?" xr:uid="{00000000-0004-0000-0100-000000000000}"/>
  </hyperlinks>
  <pageMargins left="0.7" right="0.7" top="0.75" bottom="0.75" header="0.3" footer="0.3"/>
  <pageSetup paperSize="9" orientation="portrait" r:id="rId1"/>
  <ignoredErrors>
    <ignoredError sqref="D29 D35 L42" formula="1"/>
  </ignoredErrors>
  <drawing r:id="rId2"/>
  <legacyDrawing r:id="rId3"/>
  <controls>
    <mc:AlternateContent xmlns:mc="http://schemas.openxmlformats.org/markup-compatibility/2006">
      <mc:Choice Requires="x14">
        <control shapeId="2125" r:id="rId4" name="mpPricingAnalysis">
          <controlPr defaultSize="0" autoLine="0" r:id="rId5">
            <anchor>
              <from>
                <xdr:col>1</xdr:col>
                <xdr:colOff>0</xdr:colOff>
                <xdr:row>14</xdr:row>
                <xdr:rowOff>76200</xdr:rowOff>
              </from>
              <to>
                <xdr:col>11</xdr:col>
                <xdr:colOff>1200150</xdr:colOff>
                <xdr:row>16</xdr:row>
                <xdr:rowOff>0</xdr:rowOff>
              </to>
            </anchor>
          </controlPr>
        </control>
      </mc:Choice>
      <mc:Fallback>
        <control shapeId="2125" r:id="rId4" name="mpPricingAnalysi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Scenario">
    <outlinePr summaryBelow="0"/>
  </sheetPr>
  <dimension ref="B1:R61"/>
  <sheetViews>
    <sheetView showGridLines="0" showRowColHeaders="0" zoomScaleNormal="100" workbookViewId="0">
      <pane ySplit="5" topLeftCell="A6" activePane="bottomLeft" state="frozen"/>
      <selection pane="bottomLeft" activeCell="F37" sqref="F37"/>
    </sheetView>
  </sheetViews>
  <sheetFormatPr defaultColWidth="9.33203125" defaultRowHeight="15" customHeight="1" x14ac:dyDescent="0.2"/>
  <cols>
    <col min="1" max="1" width="1.83203125" customWidth="1"/>
    <col min="2" max="2" width="20.83203125" bestFit="1" customWidth="1"/>
    <col min="3" max="22" width="12.83203125" customWidth="1"/>
    <col min="23" max="16383" width="9.33203125" customWidth="1"/>
  </cols>
  <sheetData>
    <row r="1" spans="2:10" ht="5.0999999999999996" customHeight="1" x14ac:dyDescent="0.2"/>
    <row r="5" spans="2:10" ht="5.0999999999999996" customHeight="1" x14ac:dyDescent="0.2"/>
    <row r="7" spans="2:10" ht="15" customHeight="1" x14ac:dyDescent="0.25">
      <c r="B7" s="98" t="s">
        <v>90</v>
      </c>
      <c r="C7" s="186" t="str">
        <f>'Pricing Analysis'!$D$7</f>
        <v>ABNB 0 03/15/26</v>
      </c>
      <c r="D7" s="186"/>
      <c r="E7" s="187"/>
      <c r="F7" s="56" t="s">
        <v>283</v>
      </c>
      <c r="G7" s="5"/>
      <c r="H7" s="5"/>
      <c r="I7" s="5"/>
      <c r="J7" s="5"/>
    </row>
    <row r="8" spans="2:10" ht="5.0999999999999996" customHeight="1" x14ac:dyDescent="0.25">
      <c r="B8" s="5"/>
      <c r="C8" s="5"/>
      <c r="D8" s="5"/>
      <c r="E8" s="5"/>
      <c r="F8" s="5"/>
      <c r="G8" s="5"/>
      <c r="H8" s="5"/>
      <c r="I8" s="5"/>
      <c r="J8" s="5"/>
    </row>
    <row r="9" spans="2:10" ht="15" customHeight="1" x14ac:dyDescent="0.25">
      <c r="B9" s="98" t="s">
        <v>263</v>
      </c>
      <c r="C9" s="179" t="s">
        <v>267</v>
      </c>
      <c r="D9" s="179"/>
      <c r="E9" s="180"/>
      <c r="F9" s="5"/>
      <c r="G9" s="98" t="s">
        <v>269</v>
      </c>
      <c r="H9" s="179" t="s">
        <v>262</v>
      </c>
      <c r="I9" s="179"/>
      <c r="J9" s="180"/>
    </row>
    <row r="10" spans="2:10" ht="5.0999999999999996" customHeight="1" x14ac:dyDescent="0.25">
      <c r="B10" s="5"/>
      <c r="C10" s="5"/>
      <c r="D10" s="5"/>
      <c r="E10" s="5"/>
      <c r="F10" s="5"/>
      <c r="G10" s="5"/>
      <c r="H10" s="5"/>
      <c r="I10" s="5"/>
      <c r="J10" s="5"/>
    </row>
    <row r="11" spans="2:10" ht="15" customHeight="1" x14ac:dyDescent="0.25">
      <c r="B11" s="98" t="s">
        <v>264</v>
      </c>
      <c r="C11" s="181">
        <f ca="1">TODAY()</f>
        <v>45945</v>
      </c>
      <c r="D11" s="181"/>
      <c r="E11" s="182"/>
      <c r="F11" s="5"/>
      <c r="G11" s="98" t="s">
        <v>266</v>
      </c>
      <c r="H11" s="99">
        <v>-25</v>
      </c>
      <c r="I11" s="100" t="s">
        <v>268</v>
      </c>
      <c r="J11" s="101">
        <v>25</v>
      </c>
    </row>
    <row r="30" spans="15:18" ht="15" customHeight="1" x14ac:dyDescent="0.2">
      <c r="O30" s="1"/>
      <c r="P30" s="1"/>
      <c r="Q30" s="1"/>
      <c r="R30" s="1"/>
    </row>
    <row r="31" spans="15:18" ht="15" customHeight="1" x14ac:dyDescent="0.2">
      <c r="O31" s="1"/>
      <c r="P31" s="1"/>
      <c r="Q31" s="1"/>
      <c r="R31" s="1"/>
    </row>
    <row r="32" spans="15:18" ht="5.0999999999999996" customHeight="1" x14ac:dyDescent="0.2">
      <c r="O32" s="1"/>
      <c r="P32" s="1"/>
      <c r="Q32" s="1"/>
      <c r="R32" s="1"/>
    </row>
    <row r="33" spans="2:18" ht="15" customHeight="1" x14ac:dyDescent="0.25">
      <c r="B33" s="183" t="s">
        <v>270</v>
      </c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5"/>
      <c r="O33" s="1"/>
      <c r="P33" s="22" t="s">
        <v>271</v>
      </c>
      <c r="Q33" s="22">
        <f>ABS($H$11-$J$11)/10</f>
        <v>5</v>
      </c>
      <c r="R33" s="1"/>
    </row>
    <row r="34" spans="2:18" ht="15" customHeight="1" x14ac:dyDescent="0.25">
      <c r="B34" s="24" t="str">
        <f>C9</f>
        <v>Price Shift (%)</v>
      </c>
      <c r="C34" s="45">
        <f>$H$11</f>
        <v>-25</v>
      </c>
      <c r="D34" s="45">
        <f>C$34+$Q$33</f>
        <v>-20</v>
      </c>
      <c r="E34" s="45">
        <f t="shared" ref="E34:L34" si="0">D$34+$Q$33</f>
        <v>-15</v>
      </c>
      <c r="F34" s="45">
        <f t="shared" si="0"/>
        <v>-10</v>
      </c>
      <c r="G34" s="45">
        <f t="shared" si="0"/>
        <v>-5</v>
      </c>
      <c r="H34" s="45">
        <f t="shared" si="0"/>
        <v>0</v>
      </c>
      <c r="I34" s="45">
        <f t="shared" si="0"/>
        <v>5</v>
      </c>
      <c r="J34" s="45">
        <f t="shared" si="0"/>
        <v>10</v>
      </c>
      <c r="K34" s="45">
        <f t="shared" si="0"/>
        <v>15</v>
      </c>
      <c r="L34" s="45">
        <f t="shared" si="0"/>
        <v>20</v>
      </c>
      <c r="M34" s="46">
        <f>$J$11</f>
        <v>25</v>
      </c>
      <c r="O34" s="1"/>
      <c r="P34" s="22" t="s">
        <v>272</v>
      </c>
      <c r="Q34" s="22">
        <f ca="1">_xll.BDH('Pricing Analysis'!$D$36,"PX_LAST",Q35,Q35,"days=a")</f>
        <v>124.92</v>
      </c>
      <c r="R34" s="1"/>
    </row>
    <row r="35" spans="2:18" ht="15" customHeight="1" x14ac:dyDescent="0.25">
      <c r="B35" s="24" t="s">
        <v>11</v>
      </c>
      <c r="C35" s="47">
        <f t="shared" ref="C35:L35" ca="1" si="1">$Q$34*(1+C$34/100)</f>
        <v>93.69</v>
      </c>
      <c r="D35" s="47">
        <f t="shared" ca="1" si="1"/>
        <v>99.936000000000007</v>
      </c>
      <c r="E35" s="47">
        <f t="shared" ca="1" si="1"/>
        <v>106.182</v>
      </c>
      <c r="F35" s="47">
        <f t="shared" ca="1" si="1"/>
        <v>112.428</v>
      </c>
      <c r="G35" s="47">
        <f t="shared" ca="1" si="1"/>
        <v>118.67399999999999</v>
      </c>
      <c r="H35" s="47">
        <f t="shared" ca="1" si="1"/>
        <v>124.92</v>
      </c>
      <c r="I35" s="47">
        <f t="shared" ca="1" si="1"/>
        <v>131.166</v>
      </c>
      <c r="J35" s="47">
        <f t="shared" ca="1" si="1"/>
        <v>137.41200000000001</v>
      </c>
      <c r="K35" s="47">
        <f t="shared" ca="1" si="1"/>
        <v>143.65799999999999</v>
      </c>
      <c r="L35" s="47">
        <f t="shared" ca="1" si="1"/>
        <v>149.904</v>
      </c>
      <c r="M35" s="48">
        <f ca="1">$Q$34*(1+M$34/100)</f>
        <v>156.15</v>
      </c>
      <c r="O35" s="1"/>
      <c r="P35" s="22" t="s">
        <v>278</v>
      </c>
      <c r="Q35" s="22" t="str">
        <f ca="1">TEXT($C$11,"YYYYMMDD")</f>
        <v>20251015</v>
      </c>
      <c r="R35" s="1"/>
    </row>
    <row r="36" spans="2:18" ht="15" customHeight="1" x14ac:dyDescent="0.25">
      <c r="B36" s="49" t="s">
        <v>262</v>
      </c>
      <c r="C36" s="21">
        <f ca="1">_xll.BDP('Pricing Analysis'!$D$1,"FAIR_VALUE_CV", "ACTIVATE_MULTICALC_MODE=Y", "TRADE_DATE_CV_MODEL",$Q$35,$B$46:$B$50,C$46:C$50)</f>
        <v>96.588179566541157</v>
      </c>
      <c r="D36" s="21">
        <f ca="1">_xll.BDP('Pricing Analysis'!$D$1,"FAIR_VALUE_CV", "ACTIVATE_MULTICALC_MODE=Y", "TRADE_DATE_CV_MODEL",$Q$35,$B$46:$B$50,D$46:D$50)</f>
        <v>96.588179566541072</v>
      </c>
      <c r="E36" s="21">
        <f ca="1">_xll.BDP('Pricing Analysis'!$D$1,"FAIR_VALUE_CV", "ACTIVATE_MULTICALC_MODE=Y", "TRADE_DATE_CV_MODEL",$Q$35,$B$46:$B$50,E$46:E$50)</f>
        <v>96.588188012203915</v>
      </c>
      <c r="F36" s="21">
        <f ca="1">_xll.BDP('Pricing Analysis'!$D$1,"FAIR_VALUE_CV", "ACTIVATE_MULTICALC_MODE=Y", "TRADE_DATE_CV_MODEL",$Q$35,$B$46:$B$50,F$46:F$50)</f>
        <v>96.588213175389811</v>
      </c>
      <c r="G36" s="21">
        <f ca="1">_xll.BDP('Pricing Analysis'!$D$1,"FAIR_VALUE_CV", "ACTIVATE_MULTICALC_MODE=Y", "TRADE_DATE_CV_MODEL",$Q$35,$B$46:$B$50,G$46:G$50)</f>
        <v>96.588284478009854</v>
      </c>
      <c r="H36" s="21">
        <f ca="1">_xll.BDP('Pricing Analysis'!$D$1,"FAIR_VALUE_CV", "ACTIVATE_MULTICALC_MODE=Y", "TRADE_DATE_CV_MODEL",$Q$35,$B$46:$B$50,H$46:H$50)</f>
        <v>96.58847234451855</v>
      </c>
      <c r="I36" s="21">
        <f ca="1">_xll.BDP('Pricing Analysis'!$D$1,"FAIR_VALUE_CV", "ACTIVATE_MULTICALC_MODE=Y", "TRADE_DATE_CV_MODEL",$Q$35,$B$46:$B$50,I$46:I$50)</f>
        <v>96.588924046477288</v>
      </c>
      <c r="J36" s="21">
        <f ca="1">_xll.BDP('Pricing Analysis'!$D$1,"FAIR_VALUE_CV", "ACTIVATE_MULTICALC_MODE=Y", "TRADE_DATE_CV_MODEL",$Q$35,$B$46:$B$50,J$46:J$50)</f>
        <v>96.590045961763778</v>
      </c>
      <c r="K36" s="21">
        <f ca="1">_xll.BDP('Pricing Analysis'!$D$1,"FAIR_VALUE_CV", "ACTIVATE_MULTICALC_MODE=Y", "TRADE_DATE_CV_MODEL",$Q$35,$B$46:$B$50,K$46:K$50)</f>
        <v>96.591967063929275</v>
      </c>
      <c r="L36" s="21">
        <f ca="1">_xll.BDP('Pricing Analysis'!$D$1,"FAIR_VALUE_CV", "ACTIVATE_MULTICALC_MODE=Y", "TRADE_DATE_CV_MODEL",$Q$35,$B$46:$B$50,L$46:L$50)</f>
        <v>96.595855403431401</v>
      </c>
      <c r="M36" s="50">
        <f ca="1">_xll.BDP('Pricing Analysis'!$D$1,"FAIR_VALUE_CV", "ACTIVATE_MULTICALC_MODE=Y", "TRADE_DATE_CV_MODEL",$Q$35,$B$46:$B$50,M$46:M$50)</f>
        <v>96.602909274259176</v>
      </c>
      <c r="O36" s="1"/>
      <c r="P36" s="1"/>
      <c r="Q36" s="1"/>
      <c r="R36" s="1"/>
    </row>
    <row r="37" spans="2:18" ht="15" customHeight="1" x14ac:dyDescent="0.25">
      <c r="B37" s="51" t="s">
        <v>27</v>
      </c>
      <c r="C37" s="20">
        <f ca="1">_xll.BDP('Pricing Analysis'!$D$1,"CV_MODEL_PCT_CHEAPNESS", "ACTIVATE_MULTICALC_MODE=Y", "TRADE_DATE_CV_MODEL",$Q$35,$B$46:$B$50,C$46:C$50)</f>
        <v>-1.6066359676959945</v>
      </c>
      <c r="D37" s="20">
        <f ca="1">_xll.BDP('Pricing Analysis'!$D$1,"CV_MODEL_PCT_CHEAPNESS", "ACTIVATE_MULTICALC_MODE=Y", "TRADE_DATE_CV_MODEL",$Q$35,$B$46:$B$50,D$46:D$50)</f>
        <v>-1.606635967696084</v>
      </c>
      <c r="E37" s="20">
        <f ca="1">_xll.BDP('Pricing Analysis'!$D$1,"CV_MODEL_PCT_CHEAPNESS", "ACTIVATE_MULTICALC_MODE=Y", "TRADE_DATE_CV_MODEL",$Q$35,$B$46:$B$50,E$46:E$50)</f>
        <v>-1.606627083220584</v>
      </c>
      <c r="F37" s="20">
        <f ca="1">_xll.BDP('Pricing Analysis'!$D$1,"CV_MODEL_PCT_CHEAPNESS", "ACTIVATE_MULTICALC_MODE=Y", "TRADE_DATE_CV_MODEL",$Q$35,$B$46:$B$50,F$46:F$50)</f>
        <v>-1.6066006126362189</v>
      </c>
      <c r="G37" s="20">
        <f ca="1">_xll.BDP('Pricing Analysis'!$D$1,"CV_MODEL_PCT_CHEAPNESS", "ACTIVATE_MULTICALC_MODE=Y", "TRADE_DATE_CV_MODEL",$Q$35,$B$46:$B$50,G$46:G$50)</f>
        <v>-1.606525605435537</v>
      </c>
      <c r="H37" s="20">
        <f ca="1">_xll.BDP('Pricing Analysis'!$D$1,"CV_MODEL_PCT_CHEAPNESS", "ACTIVATE_MULTICALC_MODE=Y", "TRADE_DATE_CV_MODEL",$Q$35,$B$46:$B$50,H$46:H$50)</f>
        <v>-1.6063279787129803</v>
      </c>
      <c r="I37" s="20">
        <f ca="1">_xll.BDP('Pricing Analysis'!$D$1,"CV_MODEL_PCT_CHEAPNESS", "ACTIVATE_MULTICALC_MODE=Y", "TRADE_DATE_CV_MODEL",$Q$35,$B$46:$B$50,I$46:I$50)</f>
        <v>-1.6058528126644784</v>
      </c>
      <c r="J37" s="20">
        <f ca="1">_xll.BDP('Pricing Analysis'!$D$1,"CV_MODEL_PCT_CHEAPNESS", "ACTIVATE_MULTICALC_MODE=Y", "TRADE_DATE_CV_MODEL",$Q$35,$B$46:$B$50,J$46:J$50)</f>
        <v>-1.6046726376440372</v>
      </c>
      <c r="K37" s="20">
        <f ca="1">_xll.BDP('Pricing Analysis'!$D$1,"CV_MODEL_PCT_CHEAPNESS", "ACTIVATE_MULTICALC_MODE=Y", "TRADE_DATE_CV_MODEL",$Q$35,$B$46:$B$50,K$46:K$50)</f>
        <v>-1.6026518385800781</v>
      </c>
      <c r="L37" s="20">
        <f ca="1">_xll.BDP('Pricing Analysis'!$D$1,"CV_MODEL_PCT_CHEAPNESS", "ACTIVATE_MULTICALC_MODE=Y", "TRADE_DATE_CV_MODEL",$Q$35,$B$46:$B$50,L$46:L$50)</f>
        <v>-1.5985619570524154</v>
      </c>
      <c r="M37" s="52">
        <f ca="1">_xll.BDP('Pricing Analysis'!$D$1,"CV_MODEL_PCT_CHEAPNESS", "ACTIVATE_MULTICALC_MODE=Y", "TRADE_DATE_CV_MODEL",$Q$35,$B$46:$B$50,M$46:M$50)</f>
        <v>-1.5911433074722092</v>
      </c>
      <c r="O37" s="1"/>
      <c r="P37" s="1"/>
      <c r="Q37" s="1"/>
      <c r="R37" s="1"/>
    </row>
    <row r="38" spans="2:18" ht="15" customHeight="1" x14ac:dyDescent="0.25">
      <c r="B38" s="49" t="s">
        <v>28</v>
      </c>
      <c r="C38" s="21">
        <f ca="1">_xll.BDP('Pricing Analysis'!$D$1,"CV_MODEL_DELTA_V", "ACTIVATE_MULTICALC_MODE=Y", "TRADE_DATE_CV_MODEL",$Q$35,$B$46:$B$50,C$46:C$50)*100</f>
        <v>9.7207706790377282E-12</v>
      </c>
      <c r="D38" s="21">
        <f ca="1">_xll.BDP('Pricing Analysis'!$D$1,"CV_MODEL_DELTA_V", "ACTIVATE_MULTICALC_MODE=Y", "TRADE_DATE_CV_MODEL",$Q$35,$B$46:$B$50,D$46:D$50)*100</f>
        <v>1.7872170705670469E-12</v>
      </c>
      <c r="E38" s="21">
        <f ca="1">_xll.BDP('Pricing Analysis'!$D$1,"CV_MODEL_DELTA_V", "ACTIVATE_MULTICALC_MODE=Y", "TRADE_DATE_CV_MODEL",$Q$35,$B$46:$B$50,E$46:E$50)*100</f>
        <v>3.7205571572993088E-4</v>
      </c>
      <c r="F38" s="21">
        <f ca="1">_xll.BDP('Pricing Analysis'!$D$1,"CV_MODEL_DELTA_V", "ACTIVATE_MULTICALC_MODE=Y", "TRADE_DATE_CV_MODEL",$Q$35,$B$46:$B$50,F$46:F$50)*100</f>
        <v>1.8668482588741746E-3</v>
      </c>
      <c r="G38" s="21">
        <f ca="1">_xll.BDP('Pricing Analysis'!$D$1,"CV_MODEL_DELTA_V", "ACTIVATE_MULTICALC_MODE=Y", "TRADE_DATE_CV_MODEL",$Q$35,$B$46:$B$50,G$46:G$50)*100</f>
        <v>5.3796959154281399E-3</v>
      </c>
      <c r="H38" s="21">
        <f ca="1">_xll.BDP('Pricing Analysis'!$D$1,"CV_MODEL_DELTA_V", "ACTIVATE_MULTICALC_MODE=Y", "TRADE_DATE_CV_MODEL",$Q$35,$B$46:$B$50,H$46:H$50)*100</f>
        <v>1.3679789198280803E-2</v>
      </c>
      <c r="I38" s="21">
        <f ca="1">_xll.BDP('Pricing Analysis'!$D$1,"CV_MODEL_DELTA_V", "ACTIVATE_MULTICALC_MODE=Y", "TRADE_DATE_CV_MODEL",$Q$35,$B$46:$B$50,I$46:I$50)*100</f>
        <v>3.1581415390104693E-2</v>
      </c>
      <c r="J38" s="21">
        <f ca="1">_xll.BDP('Pricing Analysis'!$D$1,"CV_MODEL_DELTA_V", "ACTIVATE_MULTICALC_MODE=Y", "TRADE_DATE_CV_MODEL",$Q$35,$B$46:$B$50,J$46:J$50)*100</f>
        <v>6.720956193970859E-2</v>
      </c>
      <c r="K38" s="21">
        <f ca="1">_xll.BDP('Pricing Analysis'!$D$1,"CV_MODEL_DELTA_V", "ACTIVATE_MULTICALC_MODE=Y", "TRADE_DATE_CV_MODEL",$Q$35,$B$46:$B$50,K$46:K$50)*100</f>
        <v>0.13264743930879747</v>
      </c>
      <c r="L38" s="21">
        <f ca="1">_xll.BDP('Pricing Analysis'!$D$1,"CV_MODEL_DELTA_V", "ACTIVATE_MULTICALC_MODE=Y", "TRADE_DATE_CV_MODEL",$Q$35,$B$46:$B$50,L$46:L$50)*100</f>
        <v>0.24739199875514301</v>
      </c>
      <c r="M38" s="50">
        <f ca="1">_xll.BDP('Pricing Analysis'!$D$1,"CV_MODEL_DELTA_V", "ACTIVATE_MULTICALC_MODE=Y", "TRADE_DATE_CV_MODEL",$Q$35,$B$46:$B$50,M$46:M$50)*100</f>
        <v>0.43420851387569193</v>
      </c>
    </row>
    <row r="39" spans="2:18" ht="15" customHeight="1" x14ac:dyDescent="0.25">
      <c r="B39" s="51" t="s">
        <v>30</v>
      </c>
      <c r="C39" s="20">
        <f ca="1">_xll.BDP('Pricing Analysis'!$D$1,"CV_MODEL_GAMMA_V", "ACTIVATE_MULTICALC_MODE=Y", "TRADE_DATE_CV_MODEL",$Q$35,$B$46:$B$50,C$46:C$50)*100</f>
        <v>-1.0901012113843804E-13</v>
      </c>
      <c r="D39" s="20">
        <f ca="1">_xll.BDP('Pricing Analysis'!$D$1,"CV_MODEL_GAMMA_V", "ACTIVATE_MULTICALC_MODE=Y", "TRADE_DATE_CV_MODEL",$Q$35,$B$46:$B$50,D$46:D$50)*100</f>
        <v>6.1531924288551889E-12</v>
      </c>
      <c r="E39" s="20">
        <f ca="1">_xll.BDP('Pricing Analysis'!$D$1,"CV_MODEL_GAMMA_V", "ACTIVATE_MULTICALC_MODE=Y", "TRADE_DATE_CV_MODEL",$Q$35,$B$46:$B$50,E$46:E$50)*100</f>
        <v>7.4774106052039437E-5</v>
      </c>
      <c r="F39" s="20">
        <f ca="1">_xll.BDP('Pricing Analysis'!$D$1,"CV_MODEL_GAMMA_V", "ACTIVATE_MULTICALC_MODE=Y", "TRADE_DATE_CV_MODEL",$Q$35,$B$46:$B$50,F$46:F$50)*100</f>
        <v>3.6218228376660712E-4</v>
      </c>
      <c r="G39" s="20">
        <f ca="1">_xll.BDP('Pricing Analysis'!$D$1,"CV_MODEL_GAMMA_V", "ACTIVATE_MULTICALC_MODE=Y", "TRADE_DATE_CV_MODEL",$Q$35,$B$46:$B$50,G$46:G$50)*100</f>
        <v>9.9491757432838314E-4</v>
      </c>
      <c r="H39" s="20">
        <f ca="1">_xll.BDP('Pricing Analysis'!$D$1,"CV_MODEL_GAMMA_V", "ACTIVATE_MULTICALC_MODE=Y", "TRADE_DATE_CV_MODEL",$Q$35,$B$46:$B$50,H$46:H$50)*100</f>
        <v>2.4015803000414599E-3</v>
      </c>
      <c r="I39" s="20">
        <f ca="1">_xll.BDP('Pricing Analysis'!$D$1,"CV_MODEL_GAMMA_V", "ACTIVATE_MULTICALC_MODE=Y", "TRADE_DATE_CV_MODEL",$Q$35,$B$46:$B$50,I$46:I$50)*100</f>
        <v>5.2595353626584043E-3</v>
      </c>
      <c r="J39" s="20">
        <f ca="1">_xll.BDP('Pricing Analysis'!$D$1,"CV_MODEL_GAMMA_V", "ACTIVATE_MULTICALC_MODE=Y", "TRADE_DATE_CV_MODEL",$Q$35,$B$46:$B$50,J$46:J$50)*100</f>
        <v>1.0612511232569647E-2</v>
      </c>
      <c r="K39" s="20">
        <f ca="1">_xll.BDP('Pricing Analysis'!$D$1,"CV_MODEL_GAMMA_V", "ACTIVATE_MULTICALC_MODE=Y", "TRADE_DATE_CV_MODEL",$Q$35,$B$46:$B$50,K$46:K$50)*100</f>
        <v>1.9861265742526148E-2</v>
      </c>
      <c r="L39" s="20">
        <f ca="1">_xll.BDP('Pricing Analysis'!$D$1,"CV_MODEL_GAMMA_V", "ACTIVATE_MULTICALC_MODE=Y", "TRADE_DATE_CV_MODEL",$Q$35,$B$46:$B$50,L$46:L$50)*100</f>
        <v>3.5063889549895234E-2</v>
      </c>
      <c r="M39" s="52">
        <f ca="1">_xll.BDP('Pricing Analysis'!$D$1,"CV_MODEL_GAMMA_V", "ACTIVATE_MULTICALC_MODE=Y", "TRADE_DATE_CV_MODEL",$Q$35,$B$46:$B$50,M$46:M$50)*100</f>
        <v>5.8230013906187553E-2</v>
      </c>
    </row>
    <row r="40" spans="2:18" ht="15" customHeight="1" x14ac:dyDescent="0.25">
      <c r="B40" s="49" t="s">
        <v>31</v>
      </c>
      <c r="C40" s="21">
        <f ca="1">_xll.BDP('Pricing Analysis'!$D$1,"CV_MODEL_VEGA", "ACTIVATE_MULTICALC_MODE=Y", "TRADE_DATE_CV_MODEL",$Q$35,$B$46:$B$50,C$46:C$50)</f>
        <v>9.6633812063373623E-14</v>
      </c>
      <c r="D40" s="21">
        <f ca="1">_xll.BDP('Pricing Analysis'!$D$1,"CV_MODEL_VEGA", "ACTIVATE_MULTICALC_MODE=Y", "TRADE_DATE_CV_MODEL",$Q$35,$B$46:$B$50,D$46:D$50)</f>
        <v>-1.2505552149377764E-13</v>
      </c>
      <c r="E40" s="21">
        <f ca="1">_xll.BDP('Pricing Analysis'!$D$1,"CV_MODEL_VEGA", "ACTIVATE_MULTICALC_MODE=Y", "TRADE_DATE_CV_MODEL",$Q$35,$B$46:$B$50,E$46:E$50)</f>
        <v>3.9535926930511779E-6</v>
      </c>
      <c r="F40" s="21">
        <f ca="1">_xll.BDP('Pricing Analysis'!$D$1,"CV_MODEL_VEGA", "ACTIVATE_MULTICALC_MODE=Y", "TRADE_DATE_CV_MODEL",$Q$35,$B$46:$B$50,F$46:F$50)</f>
        <v>2.0210565355682775E-5</v>
      </c>
      <c r="G40" s="21">
        <f ca="1">_xll.BDP('Pricing Analysis'!$D$1,"CV_MODEL_VEGA", "ACTIVATE_MULTICALC_MODE=Y", "TRADE_DATE_CV_MODEL",$Q$35,$B$46:$B$50,G$46:G$50)</f>
        <v>5.8109965550556808E-5</v>
      </c>
      <c r="H40" s="21">
        <f ca="1">_xll.BDP('Pricing Analysis'!$D$1,"CV_MODEL_VEGA", "ACTIVATE_MULTICALC_MODE=Y", "TRADE_DATE_CV_MODEL",$Q$35,$B$46:$B$50,H$46:H$50)</f>
        <v>1.4650433230940508E-4</v>
      </c>
      <c r="I40" s="21">
        <f ca="1">_xll.BDP('Pricing Analysis'!$D$1,"CV_MODEL_VEGA", "ACTIVATE_MULTICALC_MODE=Y", "TRADE_DATE_CV_MODEL",$Q$35,$B$46:$B$50,I$46:I$50)</f>
        <v>3.3475152162623092E-4</v>
      </c>
      <c r="J40" s="21">
        <f ca="1">_xll.BDP('Pricing Analysis'!$D$1,"CV_MODEL_VEGA", "ACTIVATE_MULTICALC_MODE=Y", "TRADE_DATE_CV_MODEL",$Q$35,$B$46:$B$50,J$46:J$50)</f>
        <v>7.0398214339775225E-4</v>
      </c>
      <c r="K40" s="21">
        <f ca="1">_xll.BDP('Pricing Analysis'!$D$1,"CV_MODEL_VEGA", "ACTIVATE_MULTICALC_MODE=Y", "TRADE_DATE_CV_MODEL",$Q$35,$B$46:$B$50,K$46:K$50)</f>
        <v>1.371709131069565E-3</v>
      </c>
      <c r="L40" s="21">
        <f ca="1">_xll.BDP('Pricing Analysis'!$D$1,"CV_MODEL_VEGA", "ACTIVATE_MULTICALC_MODE=Y", "TRADE_DATE_CV_MODEL",$Q$35,$B$46:$B$50,L$46:L$50)</f>
        <v>2.5119759628296377E-3</v>
      </c>
      <c r="M40" s="50">
        <f ca="1">_xll.BDP('Pricing Analysis'!$D$1,"CV_MODEL_VEGA", "ACTIVATE_MULTICALC_MODE=Y", "TRADE_DATE_CV_MODEL",$Q$35,$B$46:$B$50,M$46:M$50)</f>
        <v>4.3198375709152968E-3</v>
      </c>
    </row>
    <row r="41" spans="2:18" ht="15" customHeight="1" x14ac:dyDescent="0.25">
      <c r="B41" s="53" t="s">
        <v>32</v>
      </c>
      <c r="C41" s="54">
        <f ca="1">_xll.BDP('Pricing Analysis'!$D$1,"THETA_CV_MODEL", "ACTIVATE_MULTICALC_MODE=Y", "TRADE_DATE_CV_MODEL",$Q$35,$B$46:$B$50,C$46:C$50)</f>
        <v>1.3405345667979417E-2</v>
      </c>
      <c r="D41" s="54">
        <f ca="1">_xll.BDP('Pricing Analysis'!$D$1,"THETA_CV_MODEL", "ACTIVATE_MULTICALC_MODE=Y", "TRADE_DATE_CV_MODEL",$Q$35,$B$46:$B$50,D$46:D$50)</f>
        <v>1.3405345667979417E-2</v>
      </c>
      <c r="E41" s="54">
        <f ca="1">_xll.BDP('Pricing Analysis'!$D$1,"THETA_CV_MODEL", "ACTIVATE_MULTICALC_MODE=Y", "TRADE_DATE_CV_MODEL",$Q$35,$B$46:$B$50,E$46:E$50)</f>
        <v>1.3404934193829376E-2</v>
      </c>
      <c r="F41" s="54">
        <f ca="1">_xll.BDP('Pricing Analysis'!$D$1,"THETA_CV_MODEL", "ACTIVATE_MULTICALC_MODE=Y", "TRADE_DATE_CV_MODEL",$Q$35,$B$46:$B$50,F$46:F$50)</f>
        <v>1.3403245130189135E-2</v>
      </c>
      <c r="G41" s="54">
        <f ca="1">_xll.BDP('Pricing Analysis'!$D$1,"THETA_CV_MODEL", "ACTIVATE_MULTICALC_MODE=Y", "TRADE_DATE_CV_MODEL",$Q$35,$B$46:$B$50,G$46:G$50)</f>
        <v>1.3399284966715186E-2</v>
      </c>
      <c r="H41" s="54">
        <f ca="1">_xll.BDP('Pricing Analysis'!$D$1,"THETA_CV_MODEL", "ACTIVATE_MULTICALC_MODE=Y", "TRADE_DATE_CV_MODEL",$Q$35,$B$46:$B$50,H$46:H$50)</f>
        <v>1.3390036450994102E-2</v>
      </c>
      <c r="I41" s="54">
        <f ca="1">_xll.BDP('Pricing Analysis'!$D$1,"THETA_CV_MODEL", "ACTIVATE_MULTICALC_MODE=Y", "TRADE_DATE_CV_MODEL",$Q$35,$B$46:$B$50,I$46:I$50)</f>
        <v>1.3370418708370834E-2</v>
      </c>
      <c r="J41" s="54">
        <f ca="1">_xll.BDP('Pricing Analysis'!$D$1,"THETA_CV_MODEL", "ACTIVATE_MULTICALC_MODE=Y", "TRADE_DATE_CV_MODEL",$Q$35,$B$46:$B$50,J$46:J$50)</f>
        <v>1.3333989289697002E-2</v>
      </c>
      <c r="K41" s="54">
        <f ca="1">_xll.BDP('Pricing Analysis'!$D$1,"THETA_CV_MODEL", "ACTIVATE_MULTICALC_MODE=Y", "TRADE_DATE_CV_MODEL",$Q$35,$B$46:$B$50,K$46:K$50)</f>
        <v>1.3263953083378511E-2</v>
      </c>
      <c r="L41" s="54">
        <f ca="1">_xll.BDP('Pricing Analysis'!$D$1,"THETA_CV_MODEL", "ACTIVATE_MULTICALC_MODE=Y", "TRADE_DATE_CV_MODEL",$Q$35,$B$46:$B$50,L$46:L$50)</f>
        <v>1.3148136343363603E-2</v>
      </c>
      <c r="M41" s="55">
        <f ca="1">_xll.BDP('Pricing Analysis'!$D$1,"THETA_CV_MODEL", "ACTIVATE_MULTICALC_MODE=Y", "TRADE_DATE_CV_MODEL",$Q$35,$B$46:$B$50,M$46:M$50)</f>
        <v>1.2967160617097306E-2</v>
      </c>
    </row>
    <row r="43" spans="2:18" s="1" customFormat="1" ht="15" hidden="1" customHeight="1" x14ac:dyDescent="0.2">
      <c r="B43" s="1" t="str">
        <f>$H$9</f>
        <v>Theo. Price</v>
      </c>
      <c r="C43" s="4">
        <f ca="1">VLOOKUP($B43,$B$36:$M$41,C$44,FALSE)</f>
        <v>96.588179566541157</v>
      </c>
      <c r="D43" s="4">
        <f t="shared" ref="D43:M43" ca="1" si="2">VLOOKUP($B43,$B$36:$M$41,D$44,FALSE)</f>
        <v>96.588179566541072</v>
      </c>
      <c r="E43" s="4">
        <f t="shared" ca="1" si="2"/>
        <v>96.588188012203915</v>
      </c>
      <c r="F43" s="4">
        <f t="shared" ca="1" si="2"/>
        <v>96.588213175389811</v>
      </c>
      <c r="G43" s="4">
        <f t="shared" ca="1" si="2"/>
        <v>96.588284478009854</v>
      </c>
      <c r="H43" s="4">
        <f t="shared" ca="1" si="2"/>
        <v>96.58847234451855</v>
      </c>
      <c r="I43" s="4">
        <f t="shared" ca="1" si="2"/>
        <v>96.588924046477288</v>
      </c>
      <c r="J43" s="4">
        <f t="shared" ca="1" si="2"/>
        <v>96.590045961763778</v>
      </c>
      <c r="K43" s="4">
        <f t="shared" ca="1" si="2"/>
        <v>96.591967063929275</v>
      </c>
      <c r="L43" s="4">
        <f t="shared" ca="1" si="2"/>
        <v>96.595855403431401</v>
      </c>
      <c r="M43" s="4">
        <f t="shared" ca="1" si="2"/>
        <v>96.602909274259176</v>
      </c>
    </row>
    <row r="44" spans="2:18" s="1" customFormat="1" ht="15" hidden="1" customHeight="1" x14ac:dyDescent="0.2">
      <c r="C44" s="1">
        <v>2</v>
      </c>
      <c r="D44" s="1">
        <v>3</v>
      </c>
      <c r="E44" s="1">
        <v>4</v>
      </c>
      <c r="F44" s="1">
        <v>5</v>
      </c>
      <c r="G44" s="1">
        <v>6</v>
      </c>
      <c r="H44" s="1">
        <v>7</v>
      </c>
      <c r="I44" s="1">
        <v>8</v>
      </c>
      <c r="J44" s="1">
        <v>9</v>
      </c>
      <c r="K44" s="1">
        <v>10</v>
      </c>
      <c r="L44" s="1">
        <v>11</v>
      </c>
      <c r="M44" s="1">
        <v>12</v>
      </c>
    </row>
    <row r="45" spans="2:18" ht="15" hidden="1" customHeight="1" x14ac:dyDescent="0.2"/>
    <row r="46" spans="2:18" ht="15" hidden="1" customHeight="1" x14ac:dyDescent="0.2">
      <c r="B46" t="s">
        <v>14</v>
      </c>
      <c r="C46">
        <f t="shared" ref="C46:M46" ca="1" si="3">IF($C$9=$B55,C$55,IF($C$9=$B56,C$56,""))</f>
        <v>93.69</v>
      </c>
      <c r="D46">
        <f t="shared" ca="1" si="3"/>
        <v>99.936000000000007</v>
      </c>
      <c r="E46">
        <f t="shared" ca="1" si="3"/>
        <v>106.182</v>
      </c>
      <c r="F46">
        <f t="shared" ca="1" si="3"/>
        <v>112.428</v>
      </c>
      <c r="G46">
        <f t="shared" ca="1" si="3"/>
        <v>118.67399999999999</v>
      </c>
      <c r="H46">
        <f t="shared" ca="1" si="3"/>
        <v>124.92</v>
      </c>
      <c r="I46">
        <f t="shared" ca="1" si="3"/>
        <v>131.166</v>
      </c>
      <c r="J46">
        <f t="shared" ca="1" si="3"/>
        <v>137.41200000000001</v>
      </c>
      <c r="K46">
        <f t="shared" ca="1" si="3"/>
        <v>143.65799999999999</v>
      </c>
      <c r="L46">
        <f t="shared" ca="1" si="3"/>
        <v>149.904</v>
      </c>
      <c r="M46">
        <f t="shared" ca="1" si="3"/>
        <v>156.15</v>
      </c>
    </row>
    <row r="47" spans="2:18" ht="15" hidden="1" customHeight="1" x14ac:dyDescent="0.2">
      <c r="B47" t="s">
        <v>13</v>
      </c>
      <c r="C47" t="str">
        <f t="shared" ref="C47:M47" si="4">IF($C$9=$B57,C$57,"")</f>
        <v/>
      </c>
      <c r="D47" t="str">
        <f t="shared" si="4"/>
        <v/>
      </c>
      <c r="E47" t="str">
        <f t="shared" si="4"/>
        <v/>
      </c>
      <c r="F47" t="str">
        <f t="shared" si="4"/>
        <v/>
      </c>
      <c r="G47" t="str">
        <f t="shared" si="4"/>
        <v/>
      </c>
      <c r="H47" t="str">
        <f t="shared" si="4"/>
        <v/>
      </c>
      <c r="I47" t="str">
        <f t="shared" si="4"/>
        <v/>
      </c>
      <c r="J47" t="str">
        <f t="shared" si="4"/>
        <v/>
      </c>
      <c r="K47" t="str">
        <f t="shared" si="4"/>
        <v/>
      </c>
      <c r="L47" t="str">
        <f t="shared" si="4"/>
        <v/>
      </c>
      <c r="M47" t="str">
        <f t="shared" si="4"/>
        <v/>
      </c>
    </row>
    <row r="48" spans="2:18" ht="15" hidden="1" customHeight="1" x14ac:dyDescent="0.2">
      <c r="B48" t="s">
        <v>276</v>
      </c>
      <c r="C48" t="str">
        <f t="shared" ref="C48:M48" si="5">IF($C$9=$B58,C$58,"")</f>
        <v/>
      </c>
      <c r="D48" t="str">
        <f t="shared" si="5"/>
        <v/>
      </c>
      <c r="E48" t="str">
        <f t="shared" si="5"/>
        <v/>
      </c>
      <c r="F48" t="str">
        <f t="shared" si="5"/>
        <v/>
      </c>
      <c r="G48" t="str">
        <f t="shared" si="5"/>
        <v/>
      </c>
      <c r="H48" t="str">
        <f t="shared" si="5"/>
        <v/>
      </c>
      <c r="I48" t="str">
        <f t="shared" si="5"/>
        <v/>
      </c>
      <c r="J48" t="str">
        <f t="shared" si="5"/>
        <v/>
      </c>
      <c r="K48" t="str">
        <f t="shared" si="5"/>
        <v/>
      </c>
      <c r="L48" t="str">
        <f t="shared" si="5"/>
        <v/>
      </c>
      <c r="M48" t="str">
        <f t="shared" si="5"/>
        <v/>
      </c>
    </row>
    <row r="49" spans="2:17" ht="15" hidden="1" customHeight="1" x14ac:dyDescent="0.2">
      <c r="B49" t="s">
        <v>16</v>
      </c>
      <c r="C49" t="str">
        <f t="shared" ref="C49:M49" si="6">IF($C$9=$B59,C$59,"")</f>
        <v/>
      </c>
      <c r="D49" t="str">
        <f t="shared" si="6"/>
        <v/>
      </c>
      <c r="E49" t="str">
        <f t="shared" si="6"/>
        <v/>
      </c>
      <c r="F49" t="str">
        <f t="shared" si="6"/>
        <v/>
      </c>
      <c r="G49" t="str">
        <f t="shared" si="6"/>
        <v/>
      </c>
      <c r="H49" t="str">
        <f t="shared" si="6"/>
        <v/>
      </c>
      <c r="I49" t="str">
        <f t="shared" si="6"/>
        <v/>
      </c>
      <c r="J49" t="str">
        <f t="shared" si="6"/>
        <v/>
      </c>
      <c r="K49" t="str">
        <f t="shared" si="6"/>
        <v/>
      </c>
      <c r="L49" t="str">
        <f t="shared" si="6"/>
        <v/>
      </c>
      <c r="M49" t="str">
        <f t="shared" si="6"/>
        <v/>
      </c>
    </row>
    <row r="50" spans="2:17" ht="15" hidden="1" customHeight="1" x14ac:dyDescent="0.2">
      <c r="B50" t="s">
        <v>20</v>
      </c>
      <c r="C50" t="str">
        <f t="shared" ref="C50:M50" si="7">IF($C$9=$B60,C$60,"")</f>
        <v/>
      </c>
      <c r="D50" t="str">
        <f t="shared" si="7"/>
        <v/>
      </c>
      <c r="E50" t="str">
        <f t="shared" si="7"/>
        <v/>
      </c>
      <c r="F50" t="str">
        <f t="shared" si="7"/>
        <v/>
      </c>
      <c r="G50" t="str">
        <f t="shared" si="7"/>
        <v/>
      </c>
      <c r="H50" t="str">
        <f t="shared" si="7"/>
        <v/>
      </c>
      <c r="I50" t="str">
        <f t="shared" si="7"/>
        <v/>
      </c>
      <c r="J50" t="str">
        <f t="shared" si="7"/>
        <v/>
      </c>
      <c r="K50" t="str">
        <f t="shared" si="7"/>
        <v/>
      </c>
      <c r="L50" t="str">
        <f t="shared" si="7"/>
        <v/>
      </c>
      <c r="M50" t="str">
        <f t="shared" si="7"/>
        <v/>
      </c>
    </row>
    <row r="51" spans="2:17" ht="15" hidden="1" customHeight="1" x14ac:dyDescent="0.2"/>
    <row r="52" spans="2:17" ht="15" hidden="1" customHeight="1" x14ac:dyDescent="0.2"/>
    <row r="53" spans="2:17" ht="15" hidden="1" customHeight="1" x14ac:dyDescent="0.2"/>
    <row r="54" spans="2:17" ht="15" hidden="1" customHeight="1" x14ac:dyDescent="0.2">
      <c r="Q54" t="s">
        <v>277</v>
      </c>
    </row>
    <row r="55" spans="2:17" ht="15" hidden="1" customHeight="1" x14ac:dyDescent="0.2">
      <c r="B55" s="2" t="s">
        <v>267</v>
      </c>
      <c r="C55" s="3">
        <f t="shared" ref="C55:L55" ca="1" si="8">$Q$34*(1+C$34/100)</f>
        <v>93.69</v>
      </c>
      <c r="D55" s="3">
        <f t="shared" ca="1" si="8"/>
        <v>99.936000000000007</v>
      </c>
      <c r="E55" s="3">
        <f t="shared" ca="1" si="8"/>
        <v>106.182</v>
      </c>
      <c r="F55" s="3">
        <f t="shared" ca="1" si="8"/>
        <v>112.428</v>
      </c>
      <c r="G55" s="3">
        <f t="shared" ca="1" si="8"/>
        <v>118.67399999999999</v>
      </c>
      <c r="H55" s="3">
        <f t="shared" ca="1" si="8"/>
        <v>124.92</v>
      </c>
      <c r="I55" s="3">
        <f t="shared" ca="1" si="8"/>
        <v>131.166</v>
      </c>
      <c r="J55" s="3">
        <f t="shared" ca="1" si="8"/>
        <v>137.41200000000001</v>
      </c>
      <c r="K55" s="3">
        <f t="shared" ca="1" si="8"/>
        <v>143.65799999999999</v>
      </c>
      <c r="L55" s="3">
        <f t="shared" ca="1" si="8"/>
        <v>149.904</v>
      </c>
      <c r="M55" s="3">
        <f ca="1">$Q$34*(1+M$34/100)</f>
        <v>156.15</v>
      </c>
    </row>
    <row r="56" spans="2:17" ht="15" hidden="1" customHeight="1" x14ac:dyDescent="0.2">
      <c r="B56" s="2" t="s">
        <v>11</v>
      </c>
      <c r="C56" s="3" t="e">
        <f>IF(C$34&lt;=0,NA(),C$34)</f>
        <v>#N/A</v>
      </c>
      <c r="D56" s="3" t="e">
        <f t="shared" ref="D56:M56" si="9">IF(D$34&lt;=0,NA(),D$34)</f>
        <v>#N/A</v>
      </c>
      <c r="E56" s="3" t="e">
        <f t="shared" si="9"/>
        <v>#N/A</v>
      </c>
      <c r="F56" s="3" t="e">
        <f t="shared" si="9"/>
        <v>#N/A</v>
      </c>
      <c r="G56" s="3" t="e">
        <f t="shared" si="9"/>
        <v>#N/A</v>
      </c>
      <c r="H56" s="3" t="e">
        <f t="shared" si="9"/>
        <v>#N/A</v>
      </c>
      <c r="I56" s="3">
        <f t="shared" si="9"/>
        <v>5</v>
      </c>
      <c r="J56" s="3">
        <f t="shared" si="9"/>
        <v>10</v>
      </c>
      <c r="K56" s="3">
        <f t="shared" si="9"/>
        <v>15</v>
      </c>
      <c r="L56" s="3">
        <f t="shared" si="9"/>
        <v>20</v>
      </c>
      <c r="M56" s="3">
        <f t="shared" si="9"/>
        <v>25</v>
      </c>
    </row>
    <row r="57" spans="2:17" ht="15" hidden="1" customHeight="1" x14ac:dyDescent="0.2">
      <c r="B57" s="2" t="s">
        <v>273</v>
      </c>
      <c r="C57" s="3">
        <f t="shared" ref="C57:L57" ca="1" si="10">$Q$57+C$34</f>
        <v>9.4367296088720209</v>
      </c>
      <c r="D57" s="3">
        <f t="shared" ca="1" si="10"/>
        <v>14.436729608872021</v>
      </c>
      <c r="E57" s="3">
        <f t="shared" ca="1" si="10"/>
        <v>19.436729608872021</v>
      </c>
      <c r="F57" s="3">
        <f t="shared" ca="1" si="10"/>
        <v>24.436729608872021</v>
      </c>
      <c r="G57" s="3">
        <f t="shared" ca="1" si="10"/>
        <v>29.436729608872021</v>
      </c>
      <c r="H57" s="3">
        <f t="shared" ca="1" si="10"/>
        <v>34.436729608872021</v>
      </c>
      <c r="I57" s="3">
        <f t="shared" ca="1" si="10"/>
        <v>39.436729608872021</v>
      </c>
      <c r="J57" s="3">
        <f t="shared" ca="1" si="10"/>
        <v>44.436729608872021</v>
      </c>
      <c r="K57" s="3">
        <f t="shared" ca="1" si="10"/>
        <v>49.436729608872021</v>
      </c>
      <c r="L57" s="3">
        <f t="shared" ca="1" si="10"/>
        <v>54.436729608872021</v>
      </c>
      <c r="M57" s="3">
        <f ca="1">$Q$57+M$34</f>
        <v>59.436729608872021</v>
      </c>
      <c r="Q57">
        <f ca="1">_xll.BDP('Pricing Analysis'!$D$1,"CV_MODEL_STOCK_VOL", "ACTIVATE_MULTICALC_MODE=Y", "TRADE_DATE_CV_MODEL",$Q$35)</f>
        <v>34.436729608872021</v>
      </c>
    </row>
    <row r="58" spans="2:17" ht="15" hidden="1" customHeight="1" x14ac:dyDescent="0.2">
      <c r="B58" s="2" t="s">
        <v>265</v>
      </c>
      <c r="C58" s="3">
        <f>C$34</f>
        <v>-25</v>
      </c>
      <c r="D58" s="3">
        <f t="shared" ref="D58:M58" si="11">D$34</f>
        <v>-20</v>
      </c>
      <c r="E58" s="3">
        <f t="shared" si="11"/>
        <v>-15</v>
      </c>
      <c r="F58" s="3">
        <f t="shared" si="11"/>
        <v>-10</v>
      </c>
      <c r="G58" s="3">
        <f t="shared" si="11"/>
        <v>-5</v>
      </c>
      <c r="H58" s="3">
        <f t="shared" si="11"/>
        <v>0</v>
      </c>
      <c r="I58" s="3">
        <f t="shared" si="11"/>
        <v>5</v>
      </c>
      <c r="J58" s="3">
        <f t="shared" si="11"/>
        <v>10</v>
      </c>
      <c r="K58" s="3">
        <f t="shared" si="11"/>
        <v>15</v>
      </c>
      <c r="L58" s="3">
        <f t="shared" si="11"/>
        <v>20</v>
      </c>
      <c r="M58" s="3">
        <f t="shared" si="11"/>
        <v>25</v>
      </c>
    </row>
    <row r="59" spans="2:17" ht="15" hidden="1" customHeight="1" x14ac:dyDescent="0.2">
      <c r="B59" s="2" t="s">
        <v>274</v>
      </c>
      <c r="C59" s="3">
        <f t="shared" ref="C59:L59" ca="1" si="12">$Q$59+C$34</f>
        <v>375</v>
      </c>
      <c r="D59" s="3">
        <f t="shared" ca="1" si="12"/>
        <v>380</v>
      </c>
      <c r="E59" s="3">
        <f t="shared" ca="1" si="12"/>
        <v>385</v>
      </c>
      <c r="F59" s="3">
        <f t="shared" ca="1" si="12"/>
        <v>390</v>
      </c>
      <c r="G59" s="3">
        <f t="shared" ca="1" si="12"/>
        <v>395</v>
      </c>
      <c r="H59" s="3">
        <f t="shared" ca="1" si="12"/>
        <v>400</v>
      </c>
      <c r="I59" s="3">
        <f t="shared" ca="1" si="12"/>
        <v>405</v>
      </c>
      <c r="J59" s="3">
        <f t="shared" ca="1" si="12"/>
        <v>410</v>
      </c>
      <c r="K59" s="3">
        <f t="shared" ca="1" si="12"/>
        <v>415</v>
      </c>
      <c r="L59" s="3">
        <f t="shared" ca="1" si="12"/>
        <v>420</v>
      </c>
      <c r="M59" s="3">
        <f ca="1">$Q$59+M$34</f>
        <v>425</v>
      </c>
      <c r="Q59">
        <f ca="1">_xll.BDP('Pricing Analysis'!$D$1,"FLAT_CREDIT_SPREAD_CV_MODEL", "ACTIVATE_MULTICALC_MODE=Y", "TRADE_DATE_CV_MODEL",$Q$35)</f>
        <v>400</v>
      </c>
    </row>
    <row r="60" spans="2:17" ht="15" hidden="1" customHeight="1" x14ac:dyDescent="0.2">
      <c r="B60" s="2" t="s">
        <v>275</v>
      </c>
      <c r="C60" s="3" t="e">
        <f>IF(C$34&lt;0,NA(),C$34)</f>
        <v>#N/A</v>
      </c>
      <c r="D60" s="3" t="e">
        <f t="shared" ref="D60:M60" si="13">IF(D$34&lt;0,NA(),D$34)</f>
        <v>#N/A</v>
      </c>
      <c r="E60" s="3" t="e">
        <f t="shared" si="13"/>
        <v>#N/A</v>
      </c>
      <c r="F60" s="3" t="e">
        <f t="shared" si="13"/>
        <v>#N/A</v>
      </c>
      <c r="G60" s="3" t="e">
        <f t="shared" si="13"/>
        <v>#N/A</v>
      </c>
      <c r="H60" s="3">
        <f t="shared" si="13"/>
        <v>0</v>
      </c>
      <c r="I60" s="3">
        <f t="shared" si="13"/>
        <v>5</v>
      </c>
      <c r="J60" s="3">
        <f t="shared" si="13"/>
        <v>10</v>
      </c>
      <c r="K60" s="3">
        <f t="shared" si="13"/>
        <v>15</v>
      </c>
      <c r="L60" s="3">
        <f t="shared" si="13"/>
        <v>20</v>
      </c>
      <c r="M60" s="3">
        <f t="shared" si="13"/>
        <v>25</v>
      </c>
    </row>
    <row r="61" spans="2:17" ht="15" hidden="1" customHeight="1" x14ac:dyDescent="0.2"/>
  </sheetData>
  <mergeCells count="5">
    <mergeCell ref="C9:E9"/>
    <mergeCell ref="C11:E11"/>
    <mergeCell ref="H9:J9"/>
    <mergeCell ref="B33:M33"/>
    <mergeCell ref="C7:E7"/>
  </mergeCells>
  <conditionalFormatting sqref="B36:M41">
    <cfRule type="expression" dxfId="1" priority="1" stopIfTrue="1">
      <formula>MOD(ROW(),2)=0</formula>
    </cfRule>
    <cfRule type="expression" dxfId="0" priority="2" stopIfTrue="1">
      <formula>MOD(ROW(),2)=1</formula>
    </cfRule>
  </conditionalFormatting>
  <dataValidations count="2">
    <dataValidation type="list" allowBlank="1" showInputMessage="1" showErrorMessage="1" sqref="C9" xr:uid="{00000000-0002-0000-0200-000000000000}">
      <formula1>"Price Shift (%), Stock Price,Stock Volatility Shift,Interest Rate Shift (in bp),Spread Shift (in bp),Recovery Rate (%)"</formula1>
    </dataValidation>
    <dataValidation type="list" allowBlank="1" showInputMessage="1" showErrorMessage="1" sqref="H9:J9" xr:uid="{00000000-0002-0000-0200-000001000000}">
      <formula1>$B$36:$B$41</formula1>
    </dataValidation>
  </dataValidations>
  <hyperlinks>
    <hyperlink ref="F7" location="HELP!D70" display="?" xr:uid="{00000000-0004-0000-0200-000000000000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Help">
    <tabColor rgb="FF00B050"/>
    <outlinePr summaryBelow="0"/>
  </sheetPr>
  <dimension ref="B1:Z101"/>
  <sheetViews>
    <sheetView showGridLines="0" showRowColHeaders="0" zoomScaleNormal="100" workbookViewId="0">
      <pane ySplit="5" topLeftCell="A6" activePane="bottomLeft" state="frozen"/>
      <selection pane="bottomLeft" activeCell="D39" sqref="D39"/>
    </sheetView>
  </sheetViews>
  <sheetFormatPr defaultRowHeight="15" customHeight="1" x14ac:dyDescent="0.2"/>
  <cols>
    <col min="1" max="1" width="1.83203125" customWidth="1"/>
    <col min="2" max="11" width="9.33203125" customWidth="1"/>
    <col min="27" max="32" width="9.33203125" customWidth="1"/>
  </cols>
  <sheetData>
    <row r="1" spans="2:26" ht="5.0999999999999996" customHeight="1" x14ac:dyDescent="0.2"/>
    <row r="5" spans="2:26" ht="5.0999999999999996" customHeight="1" x14ac:dyDescent="0.2"/>
    <row r="6" spans="2:26" ht="15" customHeight="1" x14ac:dyDescent="0.2">
      <c r="B6" s="193"/>
      <c r="C6" s="193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94"/>
      <c r="V6" s="194"/>
      <c r="W6" s="191"/>
      <c r="X6" s="191"/>
      <c r="Y6" s="191"/>
      <c r="Z6" s="191"/>
    </row>
    <row r="7" spans="2:26" ht="15" customHeight="1" x14ac:dyDescent="0.2">
      <c r="B7" s="193"/>
      <c r="C7" s="193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94"/>
      <c r="V7" s="194"/>
      <c r="W7" s="191"/>
      <c r="X7" s="191"/>
      <c r="Y7" s="191"/>
      <c r="Z7" s="191"/>
    </row>
    <row r="8" spans="2:26" ht="15" customHeight="1" x14ac:dyDescent="0.2">
      <c r="B8" s="193"/>
      <c r="C8" s="193"/>
      <c r="D8" s="188"/>
      <c r="E8" s="188"/>
      <c r="F8" s="188"/>
      <c r="G8" s="188"/>
      <c r="H8" s="188"/>
      <c r="I8" s="188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94"/>
      <c r="V8" s="194"/>
      <c r="W8" s="191"/>
      <c r="X8" s="191"/>
      <c r="Y8" s="191"/>
      <c r="Z8" s="191"/>
    </row>
    <row r="9" spans="2:26" ht="15" customHeight="1" x14ac:dyDescent="0.2">
      <c r="B9" s="193"/>
      <c r="C9" s="193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94"/>
      <c r="V9" s="194"/>
      <c r="W9" s="191"/>
      <c r="X9" s="191"/>
      <c r="Y9" s="191"/>
      <c r="Z9" s="191"/>
    </row>
    <row r="10" spans="2:26" ht="15" customHeight="1" x14ac:dyDescent="0.2">
      <c r="B10" s="191"/>
      <c r="C10" s="191"/>
      <c r="D10" s="192" t="s">
        <v>279</v>
      </c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U10" s="196"/>
      <c r="V10" s="196"/>
      <c r="W10" s="191"/>
      <c r="X10" s="191"/>
      <c r="Y10" s="191"/>
      <c r="Z10" s="191"/>
    </row>
    <row r="11" spans="2:26" ht="15" customHeight="1" x14ac:dyDescent="0.2">
      <c r="B11" s="191"/>
      <c r="C11" s="191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U11" s="196"/>
      <c r="V11" s="196"/>
      <c r="W11" s="191"/>
      <c r="X11" s="191"/>
      <c r="Y11" s="191"/>
      <c r="Z11" s="191"/>
    </row>
    <row r="12" spans="2:26" ht="15" customHeight="1" x14ac:dyDescent="0.2">
      <c r="B12" s="191"/>
      <c r="C12" s="191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U12" s="196"/>
      <c r="V12" s="196"/>
      <c r="W12" s="191"/>
      <c r="X12" s="191"/>
      <c r="Y12" s="191"/>
      <c r="Z12" s="191"/>
    </row>
    <row r="13" spans="2:26" ht="15" customHeight="1" x14ac:dyDescent="0.2">
      <c r="B13" s="191"/>
      <c r="C13" s="191"/>
      <c r="U13" s="196"/>
      <c r="V13" s="196"/>
      <c r="W13" s="191"/>
      <c r="X13" s="191"/>
      <c r="Y13" s="191"/>
      <c r="Z13" s="191"/>
    </row>
    <row r="14" spans="2:26" ht="15" customHeight="1" thickBot="1" x14ac:dyDescent="0.3">
      <c r="B14" s="191"/>
      <c r="C14" s="191"/>
      <c r="D14" s="74" t="s">
        <v>280</v>
      </c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6"/>
      <c r="U14" s="196"/>
      <c r="V14" s="196"/>
      <c r="W14" s="191"/>
      <c r="X14" s="191"/>
      <c r="Y14" s="191"/>
      <c r="Z14" s="191"/>
    </row>
    <row r="15" spans="2:26" ht="15" customHeight="1" x14ac:dyDescent="0.2">
      <c r="B15" s="191"/>
      <c r="C15" s="191"/>
      <c r="U15" s="196"/>
      <c r="V15" s="196"/>
      <c r="W15" s="191"/>
      <c r="X15" s="191"/>
      <c r="Y15" s="191"/>
      <c r="Z15" s="191"/>
    </row>
    <row r="16" spans="2:26" ht="15" customHeight="1" x14ac:dyDescent="0.2">
      <c r="B16" s="191"/>
      <c r="C16" s="191"/>
      <c r="U16" s="196"/>
      <c r="V16" s="196"/>
      <c r="W16" s="191"/>
      <c r="X16" s="191"/>
      <c r="Y16" s="191"/>
      <c r="Z16" s="191"/>
    </row>
    <row r="17" spans="2:26" ht="15" customHeight="1" x14ac:dyDescent="0.2">
      <c r="B17" s="191"/>
      <c r="C17" s="191"/>
      <c r="U17" s="196"/>
      <c r="V17" s="196"/>
      <c r="W17" s="191"/>
      <c r="X17" s="191"/>
      <c r="Y17" s="191"/>
      <c r="Z17" s="191"/>
    </row>
    <row r="18" spans="2:26" ht="15" customHeight="1" x14ac:dyDescent="0.2">
      <c r="B18" s="191"/>
      <c r="C18" s="191"/>
      <c r="U18" s="196"/>
      <c r="V18" s="196"/>
      <c r="W18" s="191"/>
      <c r="X18" s="191"/>
      <c r="Y18" s="191"/>
      <c r="Z18" s="191"/>
    </row>
    <row r="19" spans="2:26" ht="15" customHeight="1" x14ac:dyDescent="0.2">
      <c r="B19" s="191"/>
      <c r="C19" s="191"/>
      <c r="U19" s="196"/>
      <c r="V19" s="196"/>
      <c r="W19" s="191"/>
      <c r="X19" s="191"/>
      <c r="Y19" s="191"/>
      <c r="Z19" s="191"/>
    </row>
    <row r="20" spans="2:26" ht="15" customHeight="1" x14ac:dyDescent="0.2">
      <c r="B20" s="191"/>
      <c r="C20" s="191"/>
      <c r="U20" s="196"/>
      <c r="V20" s="196"/>
      <c r="W20" s="191"/>
      <c r="X20" s="191"/>
      <c r="Y20" s="191"/>
      <c r="Z20" s="191"/>
    </row>
    <row r="21" spans="2:26" ht="15" customHeight="1" x14ac:dyDescent="0.2">
      <c r="B21" s="191"/>
      <c r="C21" s="191"/>
      <c r="U21" s="196"/>
      <c r="V21" s="196"/>
      <c r="W21" s="191"/>
      <c r="X21" s="191"/>
      <c r="Y21" s="191"/>
      <c r="Z21" s="191"/>
    </row>
    <row r="22" spans="2:26" ht="15" customHeight="1" x14ac:dyDescent="0.2">
      <c r="B22" s="191"/>
      <c r="C22" s="191"/>
      <c r="U22" s="196"/>
      <c r="V22" s="196"/>
      <c r="W22" s="191"/>
      <c r="X22" s="191"/>
      <c r="Y22" s="191"/>
      <c r="Z22" s="191"/>
    </row>
    <row r="23" spans="2:26" ht="15" customHeight="1" x14ac:dyDescent="0.2">
      <c r="B23" s="191"/>
      <c r="C23" s="191"/>
      <c r="U23" s="196"/>
      <c r="V23" s="196"/>
      <c r="W23" s="191"/>
      <c r="X23" s="191"/>
      <c r="Y23" s="191"/>
      <c r="Z23" s="191"/>
    </row>
    <row r="24" spans="2:26" ht="15" customHeight="1" x14ac:dyDescent="0.2">
      <c r="B24" s="191"/>
      <c r="C24" s="191"/>
      <c r="U24" s="196"/>
      <c r="V24" s="196"/>
      <c r="W24" s="191"/>
      <c r="X24" s="191"/>
      <c r="Y24" s="191"/>
      <c r="Z24" s="191"/>
    </row>
    <row r="25" spans="2:26" ht="15" customHeight="1" x14ac:dyDescent="0.2">
      <c r="B25" s="191"/>
      <c r="C25" s="191"/>
      <c r="U25" s="196"/>
      <c r="V25" s="196"/>
      <c r="W25" s="191"/>
      <c r="X25" s="191"/>
      <c r="Y25" s="191"/>
      <c r="Z25" s="191"/>
    </row>
    <row r="26" spans="2:26" ht="15" customHeight="1" x14ac:dyDescent="0.2">
      <c r="B26" s="191"/>
      <c r="C26" s="191"/>
      <c r="U26" s="196"/>
      <c r="V26" s="196"/>
      <c r="W26" s="191"/>
      <c r="X26" s="191"/>
      <c r="Y26" s="191"/>
      <c r="Z26" s="191"/>
    </row>
    <row r="27" spans="2:26" ht="15" customHeight="1" x14ac:dyDescent="0.2">
      <c r="B27" s="191"/>
      <c r="C27" s="191"/>
      <c r="U27" s="196"/>
      <c r="V27" s="196"/>
      <c r="W27" s="191"/>
      <c r="X27" s="191"/>
      <c r="Y27" s="191"/>
      <c r="Z27" s="191"/>
    </row>
    <row r="28" spans="2:26" ht="15" customHeight="1" x14ac:dyDescent="0.2">
      <c r="B28" s="191"/>
      <c r="C28" s="191"/>
      <c r="U28" s="196"/>
      <c r="V28" s="196"/>
      <c r="W28" s="191"/>
      <c r="X28" s="191"/>
      <c r="Y28" s="191"/>
      <c r="Z28" s="191"/>
    </row>
    <row r="29" spans="2:26" ht="15" customHeight="1" x14ac:dyDescent="0.2">
      <c r="B29" s="191"/>
      <c r="C29" s="191"/>
      <c r="U29" s="196"/>
      <c r="V29" s="196"/>
      <c r="W29" s="191"/>
      <c r="X29" s="191"/>
      <c r="Y29" s="191"/>
      <c r="Z29" s="191"/>
    </row>
    <row r="30" spans="2:26" ht="15" customHeight="1" x14ac:dyDescent="0.2">
      <c r="B30" s="191"/>
      <c r="C30" s="191"/>
      <c r="U30" s="196"/>
      <c r="V30" s="196"/>
      <c r="W30" s="191"/>
      <c r="X30" s="191"/>
      <c r="Y30" s="191"/>
      <c r="Z30" s="191"/>
    </row>
    <row r="31" spans="2:26" ht="15" customHeight="1" x14ac:dyDescent="0.2">
      <c r="B31" s="191"/>
      <c r="C31" s="191"/>
      <c r="U31" s="196"/>
      <c r="V31" s="196"/>
      <c r="W31" s="191"/>
      <c r="X31" s="191"/>
      <c r="Y31" s="191"/>
      <c r="Z31" s="191"/>
    </row>
    <row r="32" spans="2:26" ht="15" customHeight="1" x14ac:dyDescent="0.2">
      <c r="B32" s="191"/>
      <c r="C32" s="191"/>
      <c r="U32" s="196"/>
      <c r="V32" s="196"/>
      <c r="W32" s="191"/>
      <c r="X32" s="191"/>
      <c r="Y32" s="191"/>
      <c r="Z32" s="191"/>
    </row>
    <row r="33" spans="2:26" ht="15" customHeight="1" x14ac:dyDescent="0.2">
      <c r="B33" s="191"/>
      <c r="C33" s="191"/>
      <c r="U33" s="196"/>
      <c r="V33" s="196"/>
      <c r="W33" s="191"/>
      <c r="X33" s="191"/>
      <c r="Y33" s="191"/>
      <c r="Z33" s="191"/>
    </row>
    <row r="34" spans="2:26" ht="15" customHeight="1" x14ac:dyDescent="0.2">
      <c r="B34" s="191"/>
      <c r="C34" s="191"/>
      <c r="U34" s="196"/>
      <c r="V34" s="196"/>
      <c r="W34" s="191"/>
      <c r="X34" s="191"/>
      <c r="Y34" s="191"/>
      <c r="Z34" s="191"/>
    </row>
    <row r="35" spans="2:26" ht="15" customHeight="1" x14ac:dyDescent="0.2">
      <c r="B35" s="191"/>
      <c r="C35" s="191"/>
      <c r="U35" s="196"/>
      <c r="V35" s="196"/>
      <c r="W35" s="191"/>
      <c r="X35" s="191"/>
      <c r="Y35" s="191"/>
      <c r="Z35" s="191"/>
    </row>
    <row r="36" spans="2:26" ht="15" customHeight="1" x14ac:dyDescent="0.2">
      <c r="B36" s="191"/>
      <c r="C36" s="191"/>
      <c r="U36" s="196"/>
      <c r="V36" s="196"/>
      <c r="W36" s="191"/>
      <c r="X36" s="191"/>
      <c r="Y36" s="191"/>
      <c r="Z36" s="191"/>
    </row>
    <row r="37" spans="2:26" ht="15" customHeight="1" x14ac:dyDescent="0.2">
      <c r="B37" s="191"/>
      <c r="C37" s="191"/>
      <c r="U37" s="196"/>
      <c r="V37" s="196"/>
      <c r="W37" s="191"/>
      <c r="X37" s="191"/>
      <c r="Y37" s="191"/>
      <c r="Z37" s="191"/>
    </row>
    <row r="38" spans="2:26" ht="15" customHeight="1" x14ac:dyDescent="0.2">
      <c r="B38" s="191"/>
      <c r="C38" s="191"/>
      <c r="U38" s="196"/>
      <c r="V38" s="196"/>
      <c r="W38" s="191"/>
      <c r="X38" s="191"/>
      <c r="Y38" s="191"/>
      <c r="Z38" s="191"/>
    </row>
    <row r="39" spans="2:26" ht="15" customHeight="1" thickBot="1" x14ac:dyDescent="0.3">
      <c r="B39" s="191"/>
      <c r="C39" s="191"/>
      <c r="D39" s="74" t="s">
        <v>281</v>
      </c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6"/>
      <c r="U39" s="196"/>
      <c r="V39" s="196"/>
      <c r="W39" s="191"/>
      <c r="X39" s="191"/>
      <c r="Y39" s="191"/>
      <c r="Z39" s="191"/>
    </row>
    <row r="40" spans="2:26" ht="15" customHeight="1" x14ac:dyDescent="0.25">
      <c r="B40" s="191"/>
      <c r="C40" s="191"/>
      <c r="D40" s="198" t="s">
        <v>284</v>
      </c>
      <c r="E40" s="198"/>
      <c r="F40" s="198"/>
      <c r="G40" s="198"/>
      <c r="U40" s="196"/>
      <c r="V40" s="196"/>
      <c r="W40" s="191"/>
      <c r="X40" s="191"/>
      <c r="Y40" s="191"/>
      <c r="Z40" s="191"/>
    </row>
    <row r="41" spans="2:26" ht="15" customHeight="1" x14ac:dyDescent="0.2">
      <c r="B41" s="191"/>
      <c r="C41" s="191"/>
      <c r="U41" s="196"/>
      <c r="V41" s="196"/>
      <c r="W41" s="191"/>
      <c r="X41" s="191"/>
      <c r="Y41" s="191"/>
      <c r="Z41" s="191"/>
    </row>
    <row r="42" spans="2:26" ht="15" customHeight="1" x14ac:dyDescent="0.2">
      <c r="B42" s="191"/>
      <c r="C42" s="191"/>
      <c r="U42" s="196"/>
      <c r="V42" s="196"/>
      <c r="W42" s="191"/>
      <c r="X42" s="191"/>
      <c r="Y42" s="191"/>
      <c r="Z42" s="191"/>
    </row>
    <row r="43" spans="2:26" ht="15" customHeight="1" x14ac:dyDescent="0.2">
      <c r="B43" s="191"/>
      <c r="C43" s="191"/>
      <c r="U43" s="196"/>
      <c r="V43" s="196"/>
      <c r="W43" s="191"/>
      <c r="X43" s="191"/>
      <c r="Y43" s="191"/>
      <c r="Z43" s="191"/>
    </row>
    <row r="44" spans="2:26" ht="15" customHeight="1" x14ac:dyDescent="0.2">
      <c r="B44" s="191"/>
      <c r="C44" s="191"/>
      <c r="U44" s="196"/>
      <c r="V44" s="196"/>
      <c r="W44" s="191"/>
      <c r="X44" s="191"/>
      <c r="Y44" s="191"/>
      <c r="Z44" s="191"/>
    </row>
    <row r="45" spans="2:26" ht="15" customHeight="1" x14ac:dyDescent="0.2">
      <c r="B45" s="191"/>
      <c r="C45" s="191"/>
      <c r="U45" s="196"/>
      <c r="V45" s="196"/>
      <c r="W45" s="191"/>
      <c r="X45" s="191"/>
      <c r="Y45" s="191"/>
      <c r="Z45" s="191"/>
    </row>
    <row r="46" spans="2:26" ht="15" customHeight="1" x14ac:dyDescent="0.2">
      <c r="B46" s="191"/>
      <c r="C46" s="191"/>
      <c r="U46" s="196"/>
      <c r="V46" s="196"/>
      <c r="W46" s="191"/>
      <c r="X46" s="191"/>
      <c r="Y46" s="191"/>
      <c r="Z46" s="191"/>
    </row>
    <row r="47" spans="2:26" ht="15" customHeight="1" x14ac:dyDescent="0.2">
      <c r="B47" s="191"/>
      <c r="C47" s="191"/>
      <c r="U47" s="196"/>
      <c r="V47" s="196"/>
      <c r="W47" s="191"/>
      <c r="X47" s="191"/>
      <c r="Y47" s="191"/>
      <c r="Z47" s="191"/>
    </row>
    <row r="48" spans="2:26" ht="15" customHeight="1" x14ac:dyDescent="0.2">
      <c r="B48" s="191"/>
      <c r="C48" s="191"/>
      <c r="U48" s="196"/>
      <c r="V48" s="196"/>
      <c r="W48" s="191"/>
      <c r="X48" s="191"/>
      <c r="Y48" s="191"/>
      <c r="Z48" s="191"/>
    </row>
    <row r="49" spans="2:26" ht="15" customHeight="1" x14ac:dyDescent="0.2">
      <c r="B49" s="191"/>
      <c r="C49" s="191"/>
      <c r="U49" s="196"/>
      <c r="V49" s="196"/>
      <c r="W49" s="191"/>
      <c r="X49" s="191"/>
      <c r="Y49" s="191"/>
      <c r="Z49" s="191"/>
    </row>
    <row r="50" spans="2:26" ht="15" customHeight="1" x14ac:dyDescent="0.2">
      <c r="B50" s="191"/>
      <c r="C50" s="191"/>
      <c r="U50" s="196"/>
      <c r="V50" s="196"/>
      <c r="W50" s="191"/>
      <c r="X50" s="191"/>
      <c r="Y50" s="191"/>
      <c r="Z50" s="191"/>
    </row>
    <row r="51" spans="2:26" ht="15" customHeight="1" x14ac:dyDescent="0.2">
      <c r="B51" s="191"/>
      <c r="C51" s="191"/>
      <c r="U51" s="196"/>
      <c r="V51" s="196"/>
      <c r="W51" s="191"/>
      <c r="X51" s="191"/>
      <c r="Y51" s="191"/>
      <c r="Z51" s="191"/>
    </row>
    <row r="52" spans="2:26" ht="15" customHeight="1" x14ac:dyDescent="0.2">
      <c r="B52" s="191"/>
      <c r="C52" s="191"/>
      <c r="U52" s="196"/>
      <c r="V52" s="196"/>
      <c r="W52" s="191"/>
      <c r="X52" s="191"/>
      <c r="Y52" s="191"/>
      <c r="Z52" s="191"/>
    </row>
    <row r="53" spans="2:26" ht="15" customHeight="1" x14ac:dyDescent="0.2">
      <c r="B53" s="191"/>
      <c r="C53" s="191"/>
      <c r="U53" s="196"/>
      <c r="V53" s="196"/>
      <c r="W53" s="191"/>
      <c r="X53" s="191"/>
      <c r="Y53" s="191"/>
      <c r="Z53" s="191"/>
    </row>
    <row r="54" spans="2:26" ht="15" customHeight="1" x14ac:dyDescent="0.2">
      <c r="B54" s="191"/>
      <c r="C54" s="191"/>
      <c r="U54" s="196"/>
      <c r="V54" s="196"/>
      <c r="W54" s="191"/>
      <c r="X54" s="191"/>
      <c r="Y54" s="191"/>
      <c r="Z54" s="191"/>
    </row>
    <row r="55" spans="2:26" ht="15" customHeight="1" x14ac:dyDescent="0.2">
      <c r="B55" s="191"/>
      <c r="C55" s="191"/>
      <c r="U55" s="196"/>
      <c r="V55" s="196"/>
      <c r="W55" s="191"/>
      <c r="X55" s="191"/>
      <c r="Y55" s="191"/>
      <c r="Z55" s="191"/>
    </row>
    <row r="56" spans="2:26" ht="15" customHeight="1" x14ac:dyDescent="0.2">
      <c r="B56" s="191"/>
      <c r="C56" s="191"/>
      <c r="U56" s="196"/>
      <c r="V56" s="196"/>
      <c r="W56" s="191"/>
      <c r="X56" s="191"/>
      <c r="Y56" s="191"/>
      <c r="Z56" s="191"/>
    </row>
    <row r="57" spans="2:26" ht="15" customHeight="1" x14ac:dyDescent="0.2">
      <c r="B57" s="191"/>
      <c r="C57" s="191"/>
      <c r="U57" s="196"/>
      <c r="V57" s="196"/>
      <c r="W57" s="191"/>
      <c r="X57" s="191"/>
      <c r="Y57" s="191"/>
      <c r="Z57" s="191"/>
    </row>
    <row r="58" spans="2:26" ht="15" customHeight="1" x14ac:dyDescent="0.2">
      <c r="B58" s="191"/>
      <c r="C58" s="191"/>
      <c r="U58" s="196"/>
      <c r="V58" s="196"/>
      <c r="W58" s="191"/>
      <c r="X58" s="191"/>
      <c r="Y58" s="191"/>
      <c r="Z58" s="191"/>
    </row>
    <row r="59" spans="2:26" ht="15" customHeight="1" x14ac:dyDescent="0.2">
      <c r="B59" s="191"/>
      <c r="C59" s="191"/>
      <c r="U59" s="196"/>
      <c r="V59" s="196"/>
      <c r="W59" s="191"/>
      <c r="X59" s="191"/>
      <c r="Y59" s="191"/>
      <c r="Z59" s="191"/>
    </row>
    <row r="60" spans="2:26" ht="15" customHeight="1" x14ac:dyDescent="0.2">
      <c r="B60" s="191"/>
      <c r="C60" s="191"/>
      <c r="U60" s="196"/>
      <c r="V60" s="196"/>
      <c r="W60" s="191"/>
      <c r="X60" s="191"/>
      <c r="Y60" s="191"/>
      <c r="Z60" s="191"/>
    </row>
    <row r="61" spans="2:26" ht="15" customHeight="1" x14ac:dyDescent="0.2">
      <c r="B61" s="191"/>
      <c r="C61" s="191"/>
      <c r="U61" s="196"/>
      <c r="V61" s="196"/>
      <c r="W61" s="191"/>
      <c r="X61" s="191"/>
      <c r="Y61" s="191"/>
      <c r="Z61" s="191"/>
    </row>
    <row r="62" spans="2:26" ht="15" customHeight="1" x14ac:dyDescent="0.2">
      <c r="B62" s="191"/>
      <c r="C62" s="191"/>
      <c r="U62" s="196"/>
      <c r="V62" s="196"/>
      <c r="W62" s="191"/>
      <c r="X62" s="191"/>
      <c r="Y62" s="191"/>
      <c r="Z62" s="191"/>
    </row>
    <row r="63" spans="2:26" ht="15" customHeight="1" x14ac:dyDescent="0.2">
      <c r="B63" s="191"/>
      <c r="C63" s="191"/>
      <c r="U63" s="196"/>
      <c r="V63" s="196"/>
      <c r="W63" s="191"/>
      <c r="X63" s="191"/>
      <c r="Y63" s="191"/>
      <c r="Z63" s="191"/>
    </row>
    <row r="64" spans="2:26" ht="15" customHeight="1" x14ac:dyDescent="0.2">
      <c r="B64" s="191"/>
      <c r="C64" s="191"/>
      <c r="U64" s="196"/>
      <c r="V64" s="196"/>
      <c r="W64" s="191"/>
      <c r="X64" s="191"/>
      <c r="Y64" s="191"/>
      <c r="Z64" s="191"/>
    </row>
    <row r="65" spans="2:26" ht="15" customHeight="1" x14ac:dyDescent="0.2">
      <c r="B65" s="191"/>
      <c r="C65" s="191"/>
      <c r="U65" s="196"/>
      <c r="V65" s="196"/>
      <c r="W65" s="191"/>
      <c r="X65" s="191"/>
      <c r="Y65" s="191"/>
      <c r="Z65" s="191"/>
    </row>
    <row r="66" spans="2:26" ht="15" customHeight="1" x14ac:dyDescent="0.2">
      <c r="B66" s="191"/>
      <c r="C66" s="191"/>
      <c r="U66" s="196"/>
      <c r="V66" s="196"/>
      <c r="W66" s="191"/>
      <c r="X66" s="191"/>
      <c r="Y66" s="191"/>
      <c r="Z66" s="191"/>
    </row>
    <row r="67" spans="2:26" ht="15" customHeight="1" x14ac:dyDescent="0.2">
      <c r="B67" s="191"/>
      <c r="C67" s="191"/>
      <c r="U67" s="196"/>
      <c r="V67" s="196"/>
      <c r="W67" s="191"/>
      <c r="X67" s="191"/>
      <c r="Y67" s="191"/>
      <c r="Z67" s="191"/>
    </row>
    <row r="68" spans="2:26" ht="15" customHeight="1" x14ac:dyDescent="0.2">
      <c r="B68" s="191"/>
      <c r="C68" s="191"/>
      <c r="U68" s="196"/>
      <c r="V68" s="196"/>
      <c r="W68" s="191"/>
      <c r="X68" s="191"/>
      <c r="Y68" s="191"/>
      <c r="Z68" s="191"/>
    </row>
    <row r="69" spans="2:26" ht="15" customHeight="1" x14ac:dyDescent="0.2">
      <c r="B69" s="191"/>
      <c r="C69" s="191"/>
      <c r="U69" s="196"/>
      <c r="V69" s="196"/>
      <c r="W69" s="191"/>
      <c r="X69" s="191"/>
      <c r="Y69" s="191"/>
      <c r="Z69" s="191"/>
    </row>
    <row r="70" spans="2:26" ht="15" customHeight="1" thickBot="1" x14ac:dyDescent="0.3">
      <c r="B70" s="191"/>
      <c r="C70" s="191"/>
      <c r="D70" s="74" t="s">
        <v>282</v>
      </c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6"/>
      <c r="U70" s="196"/>
      <c r="V70" s="196"/>
      <c r="W70" s="191"/>
      <c r="X70" s="191"/>
      <c r="Y70" s="191"/>
      <c r="Z70" s="191"/>
    </row>
    <row r="71" spans="2:26" ht="15" customHeight="1" x14ac:dyDescent="0.25">
      <c r="B71" s="191"/>
      <c r="C71" s="191"/>
      <c r="D71" s="198" t="s">
        <v>285</v>
      </c>
      <c r="E71" s="198"/>
      <c r="F71" s="198"/>
      <c r="G71" s="198"/>
      <c r="U71" s="196"/>
      <c r="V71" s="196"/>
      <c r="W71" s="191"/>
      <c r="X71" s="191"/>
      <c r="Y71" s="191"/>
      <c r="Z71" s="191"/>
    </row>
    <row r="72" spans="2:26" ht="15" customHeight="1" x14ac:dyDescent="0.2">
      <c r="B72" s="191"/>
      <c r="C72" s="191"/>
      <c r="U72" s="196"/>
      <c r="V72" s="196"/>
      <c r="W72" s="191"/>
      <c r="X72" s="191"/>
      <c r="Y72" s="191"/>
      <c r="Z72" s="191"/>
    </row>
    <row r="73" spans="2:26" ht="15" customHeight="1" x14ac:dyDescent="0.2">
      <c r="B73" s="191"/>
      <c r="C73" s="191"/>
      <c r="U73" s="196"/>
      <c r="V73" s="196"/>
      <c r="W73" s="191"/>
      <c r="X73" s="191"/>
      <c r="Y73" s="191"/>
      <c r="Z73" s="191"/>
    </row>
    <row r="74" spans="2:26" ht="15" customHeight="1" x14ac:dyDescent="0.2">
      <c r="B74" s="191"/>
      <c r="C74" s="191"/>
      <c r="U74" s="196"/>
      <c r="V74" s="196"/>
      <c r="W74" s="191"/>
      <c r="X74" s="191"/>
      <c r="Y74" s="191"/>
      <c r="Z74" s="191"/>
    </row>
    <row r="75" spans="2:26" ht="15" customHeight="1" x14ac:dyDescent="0.2">
      <c r="B75" s="191"/>
      <c r="C75" s="191"/>
      <c r="U75" s="196"/>
      <c r="V75" s="196"/>
      <c r="W75" s="191"/>
      <c r="X75" s="191"/>
      <c r="Y75" s="191"/>
      <c r="Z75" s="191"/>
    </row>
    <row r="76" spans="2:26" ht="15" customHeight="1" x14ac:dyDescent="0.2">
      <c r="B76" s="191"/>
      <c r="C76" s="191"/>
      <c r="U76" s="196"/>
      <c r="V76" s="196"/>
      <c r="W76" s="191"/>
      <c r="X76" s="191"/>
      <c r="Y76" s="191"/>
      <c r="Z76" s="191"/>
    </row>
    <row r="77" spans="2:26" ht="15" customHeight="1" x14ac:dyDescent="0.2">
      <c r="B77" s="191"/>
      <c r="C77" s="191"/>
      <c r="U77" s="196"/>
      <c r="V77" s="196"/>
      <c r="W77" s="191"/>
      <c r="X77" s="191"/>
      <c r="Y77" s="191"/>
      <c r="Z77" s="191"/>
    </row>
    <row r="78" spans="2:26" ht="15" customHeight="1" x14ac:dyDescent="0.2">
      <c r="B78" s="191"/>
      <c r="C78" s="191"/>
      <c r="U78" s="196"/>
      <c r="V78" s="196"/>
      <c r="W78" s="191"/>
      <c r="X78" s="191"/>
      <c r="Y78" s="191"/>
      <c r="Z78" s="191"/>
    </row>
    <row r="79" spans="2:26" ht="15" customHeight="1" x14ac:dyDescent="0.2">
      <c r="B79" s="191"/>
      <c r="C79" s="191"/>
      <c r="U79" s="196"/>
      <c r="V79" s="196"/>
      <c r="W79" s="191"/>
      <c r="X79" s="191"/>
      <c r="Y79" s="191"/>
      <c r="Z79" s="191"/>
    </row>
    <row r="80" spans="2:26" ht="15" customHeight="1" x14ac:dyDescent="0.2">
      <c r="B80" s="191"/>
      <c r="C80" s="191"/>
      <c r="U80" s="196"/>
      <c r="V80" s="196"/>
      <c r="W80" s="191"/>
      <c r="X80" s="191"/>
      <c r="Y80" s="191"/>
      <c r="Z80" s="191"/>
    </row>
    <row r="81" spans="2:26" ht="15" customHeight="1" x14ac:dyDescent="0.2">
      <c r="B81" s="191"/>
      <c r="C81" s="191"/>
      <c r="U81" s="196"/>
      <c r="V81" s="196"/>
      <c r="W81" s="191"/>
      <c r="X81" s="191"/>
      <c r="Y81" s="191"/>
      <c r="Z81" s="191"/>
    </row>
    <row r="82" spans="2:26" ht="15" customHeight="1" x14ac:dyDescent="0.2">
      <c r="B82" s="191"/>
      <c r="C82" s="191"/>
      <c r="U82" s="196"/>
      <c r="V82" s="196"/>
      <c r="W82" s="191"/>
      <c r="X82" s="191"/>
      <c r="Y82" s="191"/>
      <c r="Z82" s="191"/>
    </row>
    <row r="83" spans="2:26" ht="15" customHeight="1" x14ac:dyDescent="0.2">
      <c r="B83" s="191"/>
      <c r="C83" s="191"/>
      <c r="U83" s="196"/>
      <c r="V83" s="196"/>
      <c r="W83" s="191"/>
      <c r="X83" s="191"/>
      <c r="Y83" s="191"/>
      <c r="Z83" s="191"/>
    </row>
    <row r="84" spans="2:26" ht="15" customHeight="1" x14ac:dyDescent="0.2">
      <c r="B84" s="191"/>
      <c r="C84" s="191"/>
      <c r="U84" s="196"/>
      <c r="V84" s="196"/>
      <c r="W84" s="191"/>
      <c r="X84" s="191"/>
      <c r="Y84" s="191"/>
      <c r="Z84" s="191"/>
    </row>
    <row r="85" spans="2:26" ht="15" customHeight="1" x14ac:dyDescent="0.2">
      <c r="B85" s="191"/>
      <c r="C85" s="191"/>
      <c r="U85" s="196"/>
      <c r="V85" s="196"/>
      <c r="W85" s="191"/>
      <c r="X85" s="191"/>
      <c r="Y85" s="191"/>
      <c r="Z85" s="191"/>
    </row>
    <row r="86" spans="2:26" ht="15" customHeight="1" x14ac:dyDescent="0.2">
      <c r="B86" s="191"/>
      <c r="C86" s="191"/>
      <c r="U86" s="196"/>
      <c r="V86" s="196"/>
      <c r="W86" s="191"/>
      <c r="X86" s="191"/>
      <c r="Y86" s="191"/>
      <c r="Z86" s="191"/>
    </row>
    <row r="87" spans="2:26" ht="15" customHeight="1" x14ac:dyDescent="0.2">
      <c r="B87" s="191"/>
      <c r="C87" s="191"/>
      <c r="U87" s="196"/>
      <c r="V87" s="196"/>
      <c r="W87" s="191"/>
      <c r="X87" s="191"/>
      <c r="Y87" s="191"/>
      <c r="Z87" s="191"/>
    </row>
    <row r="88" spans="2:26" ht="15" customHeight="1" x14ac:dyDescent="0.2">
      <c r="B88" s="191"/>
      <c r="C88" s="191"/>
      <c r="U88" s="196"/>
      <c r="V88" s="196"/>
      <c r="W88" s="191"/>
      <c r="X88" s="191"/>
      <c r="Y88" s="191"/>
      <c r="Z88" s="191"/>
    </row>
    <row r="89" spans="2:26" ht="15" customHeight="1" x14ac:dyDescent="0.2">
      <c r="B89" s="195"/>
      <c r="C89" s="195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97"/>
      <c r="V89" s="197"/>
      <c r="W89" s="191"/>
      <c r="X89" s="191"/>
      <c r="Y89" s="191"/>
      <c r="Z89" s="191"/>
    </row>
    <row r="90" spans="2:26" ht="15" customHeight="1" x14ac:dyDescent="0.2">
      <c r="B90" s="195"/>
      <c r="C90" s="195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97"/>
      <c r="V90" s="197"/>
      <c r="W90" s="191"/>
      <c r="X90" s="191"/>
      <c r="Y90" s="191"/>
      <c r="Z90" s="191"/>
    </row>
    <row r="91" spans="2:26" ht="15" customHeight="1" x14ac:dyDescent="0.2">
      <c r="B91" s="195"/>
      <c r="C91" s="195"/>
      <c r="D91" s="189"/>
      <c r="E91" s="189"/>
      <c r="F91" s="189"/>
      <c r="G91" s="189"/>
      <c r="H91" s="189"/>
      <c r="I91" s="189"/>
      <c r="J91" s="189"/>
      <c r="K91" s="189"/>
      <c r="L91" s="189"/>
      <c r="M91" s="189"/>
      <c r="N91" s="189"/>
      <c r="O91" s="189"/>
      <c r="P91" s="189"/>
      <c r="Q91" s="189"/>
      <c r="R91" s="189"/>
      <c r="S91" s="189"/>
      <c r="T91" s="189"/>
      <c r="U91" s="197"/>
      <c r="V91" s="197"/>
      <c r="W91" s="191"/>
      <c r="X91" s="191"/>
      <c r="Y91" s="191"/>
      <c r="Z91" s="191"/>
    </row>
    <row r="92" spans="2:26" ht="15" customHeight="1" x14ac:dyDescent="0.2">
      <c r="B92" s="195"/>
      <c r="C92" s="195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89"/>
      <c r="Q92" s="189"/>
      <c r="R92" s="189"/>
      <c r="S92" s="189"/>
      <c r="T92" s="189"/>
      <c r="U92" s="197"/>
      <c r="V92" s="197"/>
      <c r="W92" s="191"/>
      <c r="X92" s="191"/>
      <c r="Y92" s="191"/>
      <c r="Z92" s="191"/>
    </row>
    <row r="93" spans="2:26" ht="15" customHeight="1" x14ac:dyDescent="0.2">
      <c r="B93" s="188"/>
      <c r="C93" s="188"/>
      <c r="D93" s="188"/>
      <c r="E93" s="188"/>
      <c r="F93" s="188"/>
      <c r="G93" s="188"/>
      <c r="H93" s="188"/>
      <c r="I93" s="188"/>
      <c r="J93" s="188"/>
      <c r="K93" s="188"/>
      <c r="L93" s="188"/>
      <c r="M93" s="188"/>
      <c r="N93" s="188"/>
      <c r="O93" s="188"/>
      <c r="P93" s="188"/>
      <c r="Q93" s="188"/>
      <c r="R93" s="188"/>
      <c r="S93" s="188"/>
      <c r="T93" s="188"/>
      <c r="U93" s="188"/>
      <c r="V93" s="188"/>
      <c r="W93" s="190"/>
      <c r="X93" s="190"/>
      <c r="Y93" s="190"/>
      <c r="Z93" s="190"/>
    </row>
    <row r="94" spans="2:26" ht="15" customHeight="1" x14ac:dyDescent="0.2"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8"/>
      <c r="P94" s="188"/>
      <c r="Q94" s="188"/>
      <c r="R94" s="188"/>
      <c r="S94" s="188"/>
      <c r="T94" s="188"/>
      <c r="U94" s="188"/>
      <c r="V94" s="188"/>
      <c r="W94" s="190"/>
      <c r="X94" s="190"/>
      <c r="Y94" s="190"/>
      <c r="Z94" s="190"/>
    </row>
    <row r="95" spans="2:26" ht="15" customHeight="1" x14ac:dyDescent="0.2"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8"/>
      <c r="P95" s="188"/>
      <c r="Q95" s="188"/>
      <c r="R95" s="188"/>
      <c r="S95" s="188"/>
      <c r="T95" s="188"/>
      <c r="U95" s="188"/>
      <c r="V95" s="188"/>
      <c r="W95" s="190"/>
      <c r="X95" s="190"/>
      <c r="Y95" s="190"/>
      <c r="Z95" s="190"/>
    </row>
    <row r="96" spans="2:26" ht="15" customHeight="1" x14ac:dyDescent="0.2">
      <c r="B96" s="188"/>
      <c r="C96" s="188"/>
      <c r="D96" s="188"/>
      <c r="E96" s="188"/>
      <c r="F96" s="188"/>
      <c r="G96" s="188"/>
      <c r="H96" s="188"/>
      <c r="I96" s="188"/>
      <c r="J96" s="188"/>
      <c r="K96" s="188"/>
      <c r="L96" s="188"/>
      <c r="M96" s="188"/>
      <c r="N96" s="188"/>
      <c r="O96" s="188"/>
      <c r="P96" s="188"/>
      <c r="Q96" s="188"/>
      <c r="R96" s="188"/>
      <c r="S96" s="188"/>
      <c r="T96" s="188"/>
      <c r="U96" s="188"/>
      <c r="V96" s="188"/>
      <c r="W96" s="190"/>
      <c r="X96" s="190"/>
      <c r="Y96" s="190"/>
      <c r="Z96" s="190"/>
    </row>
    <row r="97" spans="2:26" ht="15" customHeight="1" x14ac:dyDescent="0.2">
      <c r="B97" s="188"/>
      <c r="C97" s="188"/>
      <c r="D97" s="188"/>
      <c r="E97" s="188"/>
      <c r="F97" s="188"/>
      <c r="G97" s="188"/>
      <c r="H97" s="188"/>
      <c r="I97" s="188"/>
      <c r="J97" s="188"/>
      <c r="K97" s="188"/>
      <c r="L97" s="188"/>
      <c r="M97" s="188"/>
      <c r="N97" s="188"/>
      <c r="O97" s="188"/>
      <c r="P97" s="188"/>
      <c r="Q97" s="188"/>
      <c r="R97" s="188"/>
      <c r="S97" s="188"/>
      <c r="T97" s="188"/>
      <c r="U97" s="188"/>
      <c r="V97" s="188"/>
      <c r="W97" s="190"/>
      <c r="X97" s="190"/>
      <c r="Y97" s="190"/>
      <c r="Z97" s="190"/>
    </row>
    <row r="98" spans="2:26" ht="15" customHeight="1" x14ac:dyDescent="0.2"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8"/>
      <c r="P98" s="188"/>
      <c r="Q98" s="188"/>
      <c r="R98" s="188"/>
      <c r="S98" s="188"/>
      <c r="T98" s="188"/>
      <c r="U98" s="188"/>
      <c r="V98" s="188"/>
      <c r="W98" s="190"/>
      <c r="X98" s="190"/>
      <c r="Y98" s="190"/>
      <c r="Z98" s="190"/>
    </row>
    <row r="99" spans="2:26" ht="15" customHeight="1" x14ac:dyDescent="0.2">
      <c r="B99" s="188"/>
      <c r="C99" s="188"/>
      <c r="D99" s="188"/>
      <c r="E99" s="188"/>
      <c r="F99" s="188"/>
      <c r="G99" s="188"/>
      <c r="H99" s="188"/>
      <c r="I99" s="188"/>
      <c r="J99" s="188"/>
      <c r="K99" s="1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90"/>
      <c r="X99" s="190"/>
      <c r="Y99" s="190"/>
      <c r="Z99" s="190"/>
    </row>
    <row r="100" spans="2:26" ht="15" customHeight="1" x14ac:dyDescent="0.2">
      <c r="B100" s="188"/>
      <c r="C100" s="188"/>
      <c r="D100" s="188"/>
      <c r="E100" s="188"/>
      <c r="F100" s="188"/>
      <c r="G100" s="188"/>
      <c r="H100" s="188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90"/>
      <c r="X100" s="190"/>
      <c r="Y100" s="190"/>
      <c r="Z100" s="190"/>
    </row>
    <row r="101" spans="2:26" ht="15" customHeight="1" x14ac:dyDescent="0.2">
      <c r="B101" s="188"/>
      <c r="C101" s="188"/>
      <c r="D101" s="188"/>
      <c r="E101" s="188"/>
      <c r="F101" s="188"/>
      <c r="G101" s="188"/>
      <c r="H101" s="188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90"/>
      <c r="X101" s="190"/>
      <c r="Y101" s="190"/>
      <c r="Z101" s="190"/>
    </row>
  </sheetData>
  <mergeCells count="14">
    <mergeCell ref="D6:T9"/>
    <mergeCell ref="D89:T92"/>
    <mergeCell ref="W93:Z101"/>
    <mergeCell ref="W6:Z92"/>
    <mergeCell ref="B93:V101"/>
    <mergeCell ref="D10:O12"/>
    <mergeCell ref="B6:C9"/>
    <mergeCell ref="U6:V9"/>
    <mergeCell ref="B10:C88"/>
    <mergeCell ref="B89:C92"/>
    <mergeCell ref="U10:V88"/>
    <mergeCell ref="U89:V92"/>
    <mergeCell ref="D71:G71"/>
    <mergeCell ref="D40:G40"/>
  </mergeCells>
  <hyperlinks>
    <hyperlink ref="D40" location="'Pricing Analysis'!A1" display="Go Back to Pricing Analysis Tab" xr:uid="{00000000-0004-0000-0300-000000000000}"/>
    <hyperlink ref="D71" location="'Scenario Analysis'!A1" display="Go to Scenario Analysis Tab" xr:uid="{00000000-0004-0000-0300-000001000000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73D1C-4FC3-4FBB-B596-D4812CF1545F}">
  <dimension ref="B2:R50"/>
  <sheetViews>
    <sheetView topLeftCell="A10" workbookViewId="0">
      <selection activeCell="P23" sqref="P23"/>
    </sheetView>
  </sheetViews>
  <sheetFormatPr defaultRowHeight="11.25" x14ac:dyDescent="0.2"/>
  <cols>
    <col min="2" max="2" width="19.5" bestFit="1" customWidth="1"/>
    <col min="3" max="3" width="5.1640625" customWidth="1"/>
    <col min="4" max="4" width="20.33203125" bestFit="1" customWidth="1"/>
    <col min="5" max="5" width="15" customWidth="1"/>
    <col min="9" max="9" width="16.1640625" bestFit="1" customWidth="1"/>
    <col min="13" max="13" width="23" customWidth="1"/>
    <col min="14" max="14" width="22" bestFit="1" customWidth="1"/>
  </cols>
  <sheetData>
    <row r="2" spans="2:14" x14ac:dyDescent="0.2">
      <c r="B2" s="133" t="s">
        <v>365</v>
      </c>
      <c r="D2" s="134" t="s">
        <v>368</v>
      </c>
    </row>
    <row r="3" spans="2:14" x14ac:dyDescent="0.2">
      <c r="B3" t="s">
        <v>8</v>
      </c>
      <c r="D3" t="s">
        <v>113</v>
      </c>
      <c r="E3" t="s">
        <v>369</v>
      </c>
    </row>
    <row r="4" spans="2:14" x14ac:dyDescent="0.2">
      <c r="B4" t="s">
        <v>1</v>
      </c>
      <c r="D4" t="s">
        <v>1</v>
      </c>
    </row>
    <row r="5" spans="2:14" x14ac:dyDescent="0.2">
      <c r="B5" t="s">
        <v>10</v>
      </c>
      <c r="D5" t="s">
        <v>10</v>
      </c>
    </row>
    <row r="6" spans="2:14" x14ac:dyDescent="0.2">
      <c r="B6" t="s">
        <v>19</v>
      </c>
    </row>
    <row r="7" spans="2:14" x14ac:dyDescent="0.2">
      <c r="B7" t="s">
        <v>9</v>
      </c>
    </row>
    <row r="8" spans="2:14" x14ac:dyDescent="0.2">
      <c r="B8" t="s">
        <v>26</v>
      </c>
    </row>
    <row r="9" spans="2:14" x14ac:dyDescent="0.2">
      <c r="B9" t="s">
        <v>290</v>
      </c>
    </row>
    <row r="10" spans="2:14" x14ac:dyDescent="0.2">
      <c r="B10" t="s">
        <v>11</v>
      </c>
    </row>
    <row r="11" spans="2:14" x14ac:dyDescent="0.2">
      <c r="B11" t="s">
        <v>22</v>
      </c>
    </row>
    <row r="12" spans="2:14" x14ac:dyDescent="0.2">
      <c r="B12" t="s">
        <v>21</v>
      </c>
    </row>
    <row r="13" spans="2:14" x14ac:dyDescent="0.2">
      <c r="B13" t="s">
        <v>24</v>
      </c>
    </row>
    <row r="14" spans="2:14" x14ac:dyDescent="0.2">
      <c r="B14" t="s">
        <v>23</v>
      </c>
    </row>
    <row r="15" spans="2:14" x14ac:dyDescent="0.2">
      <c r="B15" t="s">
        <v>88</v>
      </c>
      <c r="M15" t="s">
        <v>372</v>
      </c>
      <c r="N15" t="s">
        <v>373</v>
      </c>
    </row>
    <row r="16" spans="2:14" x14ac:dyDescent="0.2">
      <c r="B16" t="s">
        <v>5</v>
      </c>
      <c r="L16" t="s">
        <v>379</v>
      </c>
      <c r="M16" t="s">
        <v>376</v>
      </c>
      <c r="N16" t="s">
        <v>374</v>
      </c>
    </row>
    <row r="17" spans="2:16" x14ac:dyDescent="0.2">
      <c r="B17" t="s">
        <v>6</v>
      </c>
      <c r="I17" s="135" t="s">
        <v>6</v>
      </c>
      <c r="L17" t="s">
        <v>381</v>
      </c>
      <c r="M17" t="s">
        <v>375</v>
      </c>
      <c r="N17" t="s">
        <v>377</v>
      </c>
    </row>
    <row r="18" spans="2:16" x14ac:dyDescent="0.2">
      <c r="B18" t="s">
        <v>7</v>
      </c>
      <c r="I18" s="135" t="s">
        <v>7</v>
      </c>
      <c r="L18" t="s">
        <v>382</v>
      </c>
      <c r="M18" s="137"/>
      <c r="N18" t="s">
        <v>386</v>
      </c>
    </row>
    <row r="19" spans="2:16" ht="12.75" x14ac:dyDescent="0.2">
      <c r="B19" s="135" t="s">
        <v>28</v>
      </c>
      <c r="D19" t="s">
        <v>28</v>
      </c>
      <c r="E19" t="s">
        <v>370</v>
      </c>
      <c r="I19" s="135" t="s">
        <v>28</v>
      </c>
      <c r="J19" s="136" t="s">
        <v>371</v>
      </c>
      <c r="L19" t="s">
        <v>380</v>
      </c>
      <c r="M19" t="s">
        <v>378</v>
      </c>
      <c r="N19" t="s">
        <v>385</v>
      </c>
    </row>
    <row r="20" spans="2:16" x14ac:dyDescent="0.2">
      <c r="B20" t="s">
        <v>29</v>
      </c>
      <c r="L20" t="s">
        <v>387</v>
      </c>
      <c r="M20" t="s">
        <v>383</v>
      </c>
      <c r="N20" t="s">
        <v>384</v>
      </c>
    </row>
    <row r="21" spans="2:16" x14ac:dyDescent="0.2">
      <c r="B21" t="s">
        <v>30</v>
      </c>
      <c r="L21" t="s">
        <v>388</v>
      </c>
      <c r="M21" t="s">
        <v>389</v>
      </c>
      <c r="N21" t="s">
        <v>390</v>
      </c>
    </row>
    <row r="22" spans="2:16" x14ac:dyDescent="0.2">
      <c r="B22" t="s">
        <v>31</v>
      </c>
      <c r="D22" t="s">
        <v>31</v>
      </c>
      <c r="E22" t="s">
        <v>366</v>
      </c>
      <c r="N22" t="s">
        <v>391</v>
      </c>
    </row>
    <row r="23" spans="2:16" x14ac:dyDescent="0.2">
      <c r="B23" t="s">
        <v>32</v>
      </c>
      <c r="D23" t="s">
        <v>32</v>
      </c>
    </row>
    <row r="24" spans="2:16" x14ac:dyDescent="0.2">
      <c r="B24" t="s">
        <v>33</v>
      </c>
    </row>
    <row r="25" spans="2:16" x14ac:dyDescent="0.2">
      <c r="B25" t="s">
        <v>34</v>
      </c>
    </row>
    <row r="26" spans="2:16" x14ac:dyDescent="0.2">
      <c r="B26" t="s">
        <v>35</v>
      </c>
    </row>
    <row r="27" spans="2:16" x14ac:dyDescent="0.2">
      <c r="B27" t="s">
        <v>36</v>
      </c>
    </row>
    <row r="28" spans="2:16" x14ac:dyDescent="0.2">
      <c r="B28" t="s">
        <v>27</v>
      </c>
      <c r="D28" t="s">
        <v>27</v>
      </c>
      <c r="E28" t="s">
        <v>366</v>
      </c>
    </row>
    <row r="29" spans="2:16" x14ac:dyDescent="0.2">
      <c r="B29" t="s">
        <v>46</v>
      </c>
    </row>
    <row r="30" spans="2:16" x14ac:dyDescent="0.2">
      <c r="B30" t="s">
        <v>49</v>
      </c>
    </row>
    <row r="31" spans="2:16" x14ac:dyDescent="0.2">
      <c r="B31" t="s">
        <v>50</v>
      </c>
    </row>
    <row r="32" spans="2:16" x14ac:dyDescent="0.2">
      <c r="B32" t="s">
        <v>51</v>
      </c>
      <c r="D32" t="s">
        <v>51</v>
      </c>
      <c r="E32" t="s">
        <v>366</v>
      </c>
      <c r="I32" s="135" t="s">
        <v>51</v>
      </c>
      <c r="M32">
        <v>400</v>
      </c>
      <c r="N32">
        <v>57.5</v>
      </c>
      <c r="O32">
        <f>N32-50</f>
        <v>7.5</v>
      </c>
      <c r="P32">
        <f>M32*O32</f>
        <v>3000</v>
      </c>
    </row>
    <row r="33" spans="2:18" x14ac:dyDescent="0.2">
      <c r="B33" t="s">
        <v>54</v>
      </c>
      <c r="D33" t="s">
        <v>54</v>
      </c>
      <c r="E33" t="s">
        <v>366</v>
      </c>
      <c r="M33">
        <v>400</v>
      </c>
      <c r="N33">
        <v>55</v>
      </c>
      <c r="O33">
        <f t="shared" ref="O33:O34" si="0">N33-50</f>
        <v>5</v>
      </c>
      <c r="P33">
        <f t="shared" ref="P33:P34" si="1">M33*O33</f>
        <v>2000</v>
      </c>
    </row>
    <row r="34" spans="2:18" x14ac:dyDescent="0.2">
      <c r="B34" t="s">
        <v>55</v>
      </c>
      <c r="D34" t="s">
        <v>55</v>
      </c>
      <c r="E34" t="s">
        <v>366</v>
      </c>
      <c r="M34">
        <v>400</v>
      </c>
      <c r="N34">
        <v>52.5</v>
      </c>
      <c r="O34">
        <f t="shared" si="0"/>
        <v>2.5</v>
      </c>
      <c r="P34">
        <f t="shared" si="1"/>
        <v>1000</v>
      </c>
      <c r="R34">
        <f>(M32+M33+M34)*50</f>
        <v>60000</v>
      </c>
    </row>
    <row r="35" spans="2:18" x14ac:dyDescent="0.2">
      <c r="B35" t="s">
        <v>57</v>
      </c>
      <c r="D35" t="s">
        <v>57</v>
      </c>
    </row>
    <row r="36" spans="2:18" x14ac:dyDescent="0.2">
      <c r="B36" t="s">
        <v>60</v>
      </c>
      <c r="D36" t="s">
        <v>60</v>
      </c>
      <c r="E36" t="s">
        <v>366</v>
      </c>
      <c r="I36" t="s">
        <v>60</v>
      </c>
    </row>
    <row r="37" spans="2:18" x14ac:dyDescent="0.2">
      <c r="B37" t="s">
        <v>62</v>
      </c>
      <c r="D37" t="s">
        <v>62</v>
      </c>
      <c r="E37" t="s">
        <v>366</v>
      </c>
    </row>
    <row r="38" spans="2:18" x14ac:dyDescent="0.2">
      <c r="B38" t="s">
        <v>64</v>
      </c>
      <c r="D38" t="s">
        <v>64</v>
      </c>
      <c r="E38" t="s">
        <v>366</v>
      </c>
      <c r="I38" t="s">
        <v>64</v>
      </c>
    </row>
    <row r="39" spans="2:18" x14ac:dyDescent="0.2">
      <c r="B39" t="s">
        <v>66</v>
      </c>
      <c r="D39" t="s">
        <v>66</v>
      </c>
      <c r="E39" t="s">
        <v>366</v>
      </c>
      <c r="I39" t="s">
        <v>66</v>
      </c>
    </row>
    <row r="40" spans="2:18" x14ac:dyDescent="0.2">
      <c r="B40" t="s">
        <v>68</v>
      </c>
    </row>
    <row r="41" spans="2:18" x14ac:dyDescent="0.2">
      <c r="B41" t="s">
        <v>70</v>
      </c>
      <c r="D41" t="s">
        <v>70</v>
      </c>
      <c r="E41" t="s">
        <v>366</v>
      </c>
    </row>
    <row r="42" spans="2:18" x14ac:dyDescent="0.2">
      <c r="B42" t="s">
        <v>72</v>
      </c>
      <c r="D42" t="s">
        <v>78</v>
      </c>
      <c r="E42" t="s">
        <v>366</v>
      </c>
    </row>
    <row r="43" spans="2:18" x14ac:dyDescent="0.2">
      <c r="B43" t="s">
        <v>73</v>
      </c>
      <c r="D43" t="s">
        <v>78</v>
      </c>
      <c r="E43" t="s">
        <v>366</v>
      </c>
    </row>
    <row r="44" spans="2:18" x14ac:dyDescent="0.2">
      <c r="B44" t="s">
        <v>74</v>
      </c>
      <c r="D44" t="s">
        <v>78</v>
      </c>
      <c r="E44" t="s">
        <v>366</v>
      </c>
    </row>
    <row r="45" spans="2:18" x14ac:dyDescent="0.2">
      <c r="B45" t="s">
        <v>78</v>
      </c>
      <c r="D45" t="s">
        <v>78</v>
      </c>
      <c r="E45" t="s">
        <v>366</v>
      </c>
      <c r="I45" t="s">
        <v>78</v>
      </c>
    </row>
    <row r="46" spans="2:18" x14ac:dyDescent="0.2">
      <c r="B46" t="s">
        <v>79</v>
      </c>
      <c r="D46" t="s">
        <v>79</v>
      </c>
      <c r="E46" t="s">
        <v>366</v>
      </c>
      <c r="I46" t="s">
        <v>79</v>
      </c>
    </row>
    <row r="47" spans="2:18" x14ac:dyDescent="0.2">
      <c r="B47" t="s">
        <v>82</v>
      </c>
    </row>
    <row r="48" spans="2:18" x14ac:dyDescent="0.2">
      <c r="B48" t="s">
        <v>83</v>
      </c>
    </row>
    <row r="49" spans="2:5" x14ac:dyDescent="0.2">
      <c r="B49" t="s">
        <v>84</v>
      </c>
    </row>
    <row r="50" spans="2:5" x14ac:dyDescent="0.2">
      <c r="D50" t="s">
        <v>367</v>
      </c>
      <c r="E50" t="s">
        <v>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Portfolio Analysis</vt:lpstr>
      <vt:lpstr>Pricing Analysis</vt:lpstr>
      <vt:lpstr>Scenario Analysis</vt:lpstr>
      <vt:lpstr>HELP</vt:lpstr>
      <vt:lpstr>DF</vt:lpstr>
      <vt:lpstr>BB_CCRUVE_REGION</vt:lpstr>
      <vt:lpstr>BB_DVD_REGION</vt:lpstr>
      <vt:lpstr>BB_PORT_FRM</vt:lpstr>
      <vt:lpstr>BB_PRICING_REGION</vt:lpstr>
      <vt:lpstr>BB_SEC_LIST</vt:lpstr>
      <vt:lpstr>BB_ST_TICKER</vt:lpstr>
      <vt:lpstr>BB_VOL_REGION</vt:lpstr>
      <vt:lpstr>BB_YCRUVE_REGION</vt:lpstr>
    </vt:vector>
  </TitlesOfParts>
  <Company>Bloomberg 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LP</dc:creator>
  <cp:lastModifiedBy>Mikael Dauvert</cp:lastModifiedBy>
  <dcterms:created xsi:type="dcterms:W3CDTF">2014-05-27T20:43:34Z</dcterms:created>
  <dcterms:modified xsi:type="dcterms:W3CDTF">2025-10-15T15:42:46Z</dcterms:modified>
</cp:coreProperties>
</file>